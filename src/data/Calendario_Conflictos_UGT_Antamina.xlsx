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e78cefd46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 Consolidada" sheetId="1" r:id="Rf015c87dcd1847fa"/>
    <x:sheet xmlns:r="http://schemas.openxmlformats.org/officeDocument/2006/relationships" name="Resumen Ejecutivo" sheetId="2" r:id="R8e0735d35ee64c22"/>
    <x:sheet xmlns:r="http://schemas.openxmlformats.org/officeDocument/2006/relationships" name="Ventanas Electorales" sheetId="3" r:id="R42cdefa1789f4ae7"/>
    <x:sheet xmlns:r="http://schemas.openxmlformats.org/officeDocument/2006/relationships" name="Evaluación Territorial" sheetId="4" r:id="R8cddd9d7b2fc4c73"/>
    <x:sheet xmlns:r="http://schemas.openxmlformats.org/officeDocument/2006/relationships" name="Detonantes y Alertas" sheetId="5" r:id="Rfc1d71b051714549"/>
    <x:sheet xmlns:r="http://schemas.openxmlformats.org/officeDocument/2006/relationships" name="Fuentes" sheetId="6" r:id="R5b7075c506c1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23B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4" fillId="0" borderId="0" xfId="0" applyFont="1" applyAlignment="1">
      <x:alignment vertical="top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wrapText="1"/>
    </x:xf>
    <x:xf numFmtId="0" fontId="5" fillId="5" borderId="0" xfId="0" applyFont="1" applyFill="1" applyAlignment="1">
      <x:alignment horizontal="center" vertical="center" wrapText="1"/>
    </x:xf>
    <x:xf numFmtId="0" fontId="6" fillId="3" borderId="0" xfId="0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>
          <x:bgColor rgb="FFDCFCE7"/>
        </x:patternFill>
      </x:fill>
    </x:dxf>
    <x:dxf>
      <x:font>
        <x:b/>
        <x:color rgb="FF9C6500"/>
      </x:font>
      <x:fill>
        <x:patternFill>
          <x:bgColor rgb="FFFEF3C7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aec8c5b194752" /><Relationship Type="http://schemas.openxmlformats.org/officeDocument/2006/relationships/theme" Target="/xl/theme/theme1.xml" Id="R9d03396d48b44eeb" /><Relationship Type="http://schemas.openxmlformats.org/officeDocument/2006/relationships/sharedStrings" Target="/xl/sharedStrings.xml" Id="R3450d039435d412b" /><Relationship Type="http://schemas.openxmlformats.org/officeDocument/2006/relationships/worksheet" Target="/xl/worksheets/sheet1.xml" Id="Rf015c87dcd1847fa" /><Relationship Type="http://schemas.openxmlformats.org/officeDocument/2006/relationships/worksheet" Target="/xl/worksheets/sheet2.xml" Id="R8e0735d35ee64c22" /><Relationship Type="http://schemas.openxmlformats.org/officeDocument/2006/relationships/worksheet" Target="/xl/worksheets/sheet3.xml" Id="R42cdefa1789f4ae7" /><Relationship Type="http://schemas.openxmlformats.org/officeDocument/2006/relationships/worksheet" Target="/xl/worksheets/sheet4.xml" Id="R8cddd9d7b2fc4c73" /><Relationship Type="http://schemas.openxmlformats.org/officeDocument/2006/relationships/worksheet" Target="/xl/worksheets/sheet5.xml" Id="Rfc1d71b051714549" /><Relationship Type="http://schemas.openxmlformats.org/officeDocument/2006/relationships/worksheet" Target="/xl/worksheets/sheet6.xml" Id="R5b7075c506c147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a37660e2054d9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nivel operativo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 Ejecutivo'!$J$4:$J$7</c:f>
              <c:strCache>
                <c:ptCount val="4"/>
                <c:pt idx="0">
                  <c:v>Alto</c:v>
                </c:pt>
                <c:pt idx="1">
                  <c:v>Medio-alto</c:v>
                </c:pt>
                <c:pt idx="2">
                  <c:v>Medio</c:v>
                </c:pt>
                <c:pt idx="3">
                  <c:v>Bajo/variable</c:v>
                </c:pt>
              </c:strCache>
            </c:strRef>
          </c:cat>
          <c:val>
            <c:numRef>
              <c:f>'Resumen Ejecutivo'!$K$4:$K$7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a37660e2054d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ConsolidadaTable" displayName="BaseConsolidadaTable" ref="A4:R12">
  <x:tableColumns count="18">
    <x:tableColumn id="1" name="ID"/>
    <x:tableColumn id="2" name="Categoría"/>
    <x:tableColumn id="3" name="Fecha / periodo"/>
    <x:tableColumn id="4" name="Frecuencia"/>
    <x:tableColumn id="5" name="Provincia"/>
    <x:tableColumn id="6" name="Distritos / zonas"/>
    <x:tableColumn id="7" name="Tema central"/>
    <x:tableColumn id="8" name="Evidencia de recurrencia"/>
    <x:tableColumn id="9" name="Situación 2025–2026"/>
    <x:tableColumn id="10" name="Proyección 2026–2027+"/>
    <x:tableColumn id="11" name="Probabilidad"/>
    <x:tableColumn id="12" name="Nivel operativo"/>
    <x:tableColumn id="13" name="Detonantes principales"/>
    <x:tableColumn id="14" name="Escenario probable"/>
    <x:tableColumn id="15" name="Recomendación operativa"/>
    <x:tableColumn id="16" name="Estado de validación"/>
    <x:tableColumn id="17" name="Fuente 1"/>
    <x:tableColumn id="18" name="Fuente 2"/>
  </x:tableColumns>
  <x:tableStyleInfo name="TableStyleMedium2" showRowStripes="1"/>
</x:table>
</file>

<file path=xl/tables/table2.xml><?xml version="1.0" encoding="utf-8"?>
<x:table xmlns:x="http://schemas.openxmlformats.org/spreadsheetml/2006/main" id="2" name="ResumenTable" displayName="ResumenTable" ref="A11:H18">
  <x:tableColumns count="8">
    <x:tableColumn id="1" name="Periodo"/>
    <x:tableColumn id="2" name="Zona principal"/>
    <x:tableColumn id="3" name="Tipo"/>
    <x:tableColumn id="4" name="Recurrencia"/>
    <x:tableColumn id="5" name="Probabilidad"/>
    <x:tableColumn id="6" name="Nivel"/>
    <x:tableColumn id="7" name="Escenario"/>
    <x:tableColumn id="8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VentanasElectoralesTable" displayName="VentanasElectoralesTable" ref="A3:J10">
  <x:tableColumns count="10">
    <x:tableColumn id="1" name="Periodo operativo"/>
    <x:tableColumn id="2" name="Fase"/>
    <x:tableColumn id="3" name="Riesgo"/>
    <x:tableColumn id="4" name="Detonantes"/>
    <x:tableColumn id="5" name="Modalidad probable"/>
    <x:tableColumn id="6" name="Zonas prioritarias"/>
    <x:tableColumn id="7" name="Indicadores de alerta"/>
    <x:tableColumn id="8" name="Acción recomendada"/>
    <x:tableColumn id="9" name="Base de evidencia"/>
    <x:tableColumn id="10" name="Fuente"/>
  </x:tableColumns>
  <x:tableStyleInfo name="TableStyleMedium2" showRowStripes="1"/>
</x:table>
</file>

<file path=xl/tables/table4.xml><?xml version="1.0" encoding="utf-8"?>
<x:table xmlns:x="http://schemas.openxmlformats.org/spreadsheetml/2006/main" id="4" name="TerritorialTable" displayName="TerritorialTable" ref="A3:H11">
  <x:tableColumns count="8">
    <x:tableColumn id="1" name="Provincia"/>
    <x:tableColumn id="2" name="Distrito"/>
    <x:tableColumn id="3" name="Riesgo social recurrente"/>
    <x:tableColumn id="4" name="Riesgo electoral 2026"/>
    <x:tableColumn id="5" name="Ventanas prioritarias"/>
    <x:tableColumn id="6" name="Detonantes locales"/>
    <x:tableColumn id="7" name="Escenario probable"/>
    <x:tableColumn id="8" name="Recomendación"/>
  </x:tableColumns>
  <x:tableStyleInfo name="TableStyleMedium2" showRowStripes="1"/>
</x:table>
</file>

<file path=xl/tables/table5.xml><?xml version="1.0" encoding="utf-8"?>
<x:table xmlns:x="http://schemas.openxmlformats.org/spreadsheetml/2006/main" id="5" name="DetonantesTable" displayName="DetonantesTable" ref="A3:G13">
  <x:tableColumns count="7">
    <x:tableColumn id="1" name="N°"/>
    <x:tableColumn id="2" name="Detonante"/>
    <x:tableColumn id="3" name="Tipo"/>
    <x:tableColumn id="4" name="Indicador temprano"/>
    <x:tableColumn id="5" name="Posible impacto"/>
    <x:tableColumn id="6" name="Nivel inicial"/>
    <x:tableColumn id="7" name="Respuesta recomendada"/>
  </x:tableColumns>
  <x:tableStyleInfo name="TableStyleMedium2" showRowStripes="1"/>
</x:table>
</file>

<file path=xl/tables/table6.xml><?xml version="1.0" encoding="utf-8"?>
<x:table xmlns:x="http://schemas.openxmlformats.org/spreadsheetml/2006/main" id="6" name="FuentesTable" displayName="FuentesTable" ref="A3:D14">
  <x:tableColumns count="4">
    <x:tableColumn id="1" name="N°"/>
    <x:tableColumn id="2" name="Institución / medio"/>
    <x:tableColumn id="3" name="Uso en el análisis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52dcacb6444c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496991be1d49a5" /><Relationship Type="http://schemas.openxmlformats.org/officeDocument/2006/relationships/table" Target="/xl/tables/table2.xml" Id="Reaf7f698fd59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8e9628978941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c06259d9684e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4b4559696a42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1e63ffc8ea4060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6" customWidth="1"/>
    <x:col min="2" max="2" width="24" customWidth="1"/>
    <x:col min="3" max="3" width="22" customWidth="1"/>
    <x:col min="4" max="4" width="20" customWidth="1"/>
    <x:col min="5" max="5" width="18" customWidth="1"/>
    <x:col min="6" max="7" width="28" customWidth="1"/>
    <x:col min="8" max="8" width="42" customWidth="1"/>
    <x:col min="9" max="10" width="40" customWidth="1"/>
    <x:col min="11" max="12" width="16" customWidth="1"/>
    <x:col min="13" max="13" width="40" customWidth="1"/>
    <x:col min="14" max="14" width="38" customWidth="1"/>
    <x:col min="15" max="15" width="42" customWidth="1"/>
    <x:col min="16" max="16" width="26" customWidth="1"/>
    <x:col min="17" max="18" width="42" customWidth="1"/>
  </x:cols>
  <x:sheetData>
    <x:row r="1" ht="27.950000762939453" customHeight="1">
      <x:c r="A1" s="17" t="str">
        <x:v>CALENDARIO DE CONFLICTIVIDAD SOCIAL, CONCENTRACIÓN PÚBLICA Y ELECTORAL – UGT ANTAMINA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</x:row>
    <x:row r="2" ht="27.950000762939453" customHeight="1">
      <x:c r="A2" s="18" t="str">
        <x:v>Ámbito: Mina San Marcos, Huallanca, Valle Fortaleza y Huarmey | 18 distritos | Proyección operativa 2026–2027+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</x:row>
    <x:row r="4">
      <x:c r="A4" s="19" t="str">
        <x:v>ID</x:v>
      </x:c>
      <x:c r="B4" s="19" t="str">
        <x:v>Categoría</x:v>
      </x:c>
      <x:c r="C4" s="19" t="str">
        <x:v>Fecha / periodo</x:v>
      </x:c>
      <x:c r="D4" s="19" t="str">
        <x:v>Frecuencia</x:v>
      </x:c>
      <x:c r="E4" s="19" t="str">
        <x:v>UGT / provincia</x:v>
      </x:c>
      <x:c r="F4" s="19" t="str">
        <x:v>Distritos / zonas</x:v>
      </x:c>
      <x:c r="G4" s="19" t="str">
        <x:v>Tema central</x:v>
      </x:c>
      <x:c r="H4" s="19" t="str">
        <x:v>Evidencia de recurrencia</x:v>
      </x:c>
      <x:c r="I4" s="19" t="str">
        <x:v>Situación 2025–2026</x:v>
      </x:c>
      <x:c r="J4" s="19" t="str">
        <x:v>Proyección 2026–2027+</x:v>
      </x:c>
      <x:c r="K4" s="19" t="str">
        <x:v>Probabilidad</x:v>
      </x:c>
      <x:c r="L4" s="19" t="str">
        <x:v>Nivel operativo</x:v>
      </x:c>
      <x:c r="M4" s="19" t="str">
        <x:v>Detonantes principales</x:v>
      </x:c>
      <x:c r="N4" s="19" t="str">
        <x:v>Escenario probable</x:v>
      </x:c>
      <x:c r="O4" s="19" t="str">
        <x:v>Recomendación operativa</x:v>
      </x:c>
      <x:c r="P4" s="19" t="str">
        <x:v>Estado de validación</x:v>
      </x:c>
      <x:c r="Q4" s="19" t="str">
        <x:v>Fuente 1</x:v>
      </x:c>
      <x:c r="R4" s="19" t="str">
        <x:v>Fuente 2</x:v>
      </x:c>
    </x:row>
    <x:row r="5" ht="78" customHeight="1">
      <x:c r="A5" s="14" t="n">
        <x:v>1</x:v>
      </x:c>
      <x:c r="B5" s="14" t="str">
        <x:v>Socioambiental / salud</x:v>
      </x:c>
      <x:c r="C5" s="14" t="str">
        <x:v>Todo el año; mayor exposición tras resultados de monitoreo</x:v>
      </x:c>
      <x:c r="D5" s="14" t="str">
        <x:v>Recurrente, fecha variable</x:v>
      </x:c>
      <x:c r="E5" s="14" t="str">
        <x:v>Huarmey / Huarmey</x:v>
      </x:c>
      <x:c r="F5" s="14" t="str">
        <x:v>Huarmey; Puerto Huarmey; 9 de Octubre; Punta Lobitos</x:v>
      </x:c>
      <x:c r="G5" s="14" t="str">
        <x:v>Metales pesados, agua, salud pública y operación portuaria</x:v>
      </x:c>
      <x:c r="H5" s="14" t="str">
        <x:v>La preocupación por los acuíferos y la exposición a metales se registra desde 2012 y se reactivó con tamizajes, evaluaciones y pronunciamientos entre 2023 y 2026.</x:v>
      </x:c>
      <x:c r="I5" s="14" t="str">
        <x:v>La agenda continúa activa por resultados de arsénico y plomo, pedidos de atención sanitaria y cuestionamientos sobre las fuentes de exposición.</x:v>
      </x:c>
      <x:c r="J5" s="14" t="str">
        <x:v>Alta posibilidad de plantones o movilizaciones cuando se publiquen nuevos análisis, informes técnicos o decisiones sanitarias.</x:v>
      </x:c>
      <x:c r="K5" s="14" t="str">
        <x:v>Alta</x:v>
      </x:c>
      <x:c r="L5" s="14" t="str">
        <x:v>ALTO</x:v>
      </x:c>
      <x:c r="M5" s="14" t="str">
        <x:v>Nuevos resultados de laboratorio u OEFA; demora en atención médica; declaraciones públicas; incidentes en Punta Lobitos.</x:v>
      </x:c>
      <x:c r="N5" s="14" t="str">
        <x:v>Plantón, marcha provincial, concentración en entidades públicas o afectación temporal de accesos.</x:v>
      </x:c>
      <x:c r="O5" s="14" t="str">
        <x:v>Monitoreo permanente de salud, OEFA, DIRESA, dirigentes y convocatorias; reforzar alerta antes de publicación de resultados.</x:v>
      </x:c>
      <x:c r="P5" s="14" t="str">
        <x:v>Recurrente consolidada; fecha no fija</x:v>
      </x:c>
      <x:c r="Q5" s="14" t="str">
        <x:v>https://www.theguardian.com/global-development/2025/feb/04/the-last-drops-of-our-water-how-a-mine-left-some-of-perus-poorest-high-and-dry</x:v>
      </x:c>
      <x:c r="R5" s="14" t="str">
        <x:v>https://es.wikipedia.org/wiki/Contaminaci%C3%B3n_por_ars%C3%A9nico_en_Huarmey</x:v>
      </x:c>
    </x:row>
    <x:row r="6" ht="78" customHeight="1">
      <x:c r="A6" s="14" t="n">
        <x:v>2</x:v>
      </x:c>
      <x:c r="B6" s="14" t="str">
        <x:v>Socioambiental / agua</x:v>
      </x:c>
      <x:c r="C6" s="14" t="str">
        <x:v>Febrero–mayo</x:v>
      </x:c>
      <x:c r="D6" s="14" t="str">
        <x:v>Ventana anual variable</x:v>
      </x:c>
      <x:c r="E6" s="14" t="str">
        <x:v>Mina San Marcos / Huari</x:v>
      </x:c>
      <x:c r="F6" s="14" t="str">
        <x:v>San Marcos; Chavín de Huántar; Huachis; San Pedro de Chaná</x:v>
      </x:c>
      <x:c r="G6" s="14" t="str">
        <x:v>Disponibilidad de agua, calidad ambiental, metales y compromisos sociales</x:v>
      </x:c>
      <x:c r="H6" s="14" t="str">
        <x:v>Al finalizar la temporada de lluvias aumenta la atención sobre caudales, fuentes de agua y resultados ambientales; las preocupaciones se repiten, aunque sin un día anual único.</x:v>
      </x:c>
      <x:c r="I6" s="14" t="str">
        <x:v>Persisten cuestionamientos sobre agua y metales en localidades cercanas a la operación y demandas de publicación de resultados y cumplimiento de compromisos.</x:v>
      </x:c>
      <x:c r="J6" s="14" t="str">
        <x:v>La exposición puede crecer ante sequía, resultados desfavorables, incidentes o percepción de falta de respuesta institucional.</x:v>
      </x:c>
      <x:c r="K6" s="14" t="str">
        <x:v>Alta</x:v>
      </x:c>
      <x:c r="L6" s="14" t="str">
        <x:v>ALTO</x:v>
      </x:c>
      <x:c r="M6" s="14" t="str">
        <x:v>Disminución de caudales; resultados de metales; muerte de animales; incumplimiento de actas; anuncios de ampliación.</x:v>
      </x:c>
      <x:c r="N6" s="14" t="str">
        <x:v>Asambleas, plantones, marcha hacia San Marcos o bloqueo temporal de rutas de acceso.</x:v>
      </x:c>
      <x:c r="O6" s="14" t="str">
        <x:v>Reforzar monitoreo desde febrero; revisar actas, asambleas comunales y mensajes de autoridades locales semanalmente.</x:v>
      </x:c>
      <x:c r="P6" s="14" t="str">
        <x:v>Recurrente consolidada; fecha variable</x:v>
      </x:c>
      <x:c r="Q6" s="14" t="str">
        <x:v>https://www.theguardian.com/global-development/2025/feb/04/the-last-drops-of-our-water-how-a-mine-left-some-of-perus-poorest-high-and-dry</x:v>
      </x:c>
      <x:c r="R6" s="14" t="str">
        <x:v>https://es.wikipedia.org/wiki/San_Marcos_%28Huari%29</x:v>
      </x:c>
    </x:row>
    <x:row r="7" ht="78" customHeight="1">
      <x:c r="A7" s="14" t="n">
        <x:v>3</x:v>
      </x:c>
      <x:c r="B7" s="14" t="str">
        <x:v>Laboral / contratación</x:v>
      </x:c>
      <x:c r="C7" s="14" t="str">
        <x:v>Enero–marzo y antes de nuevos contratos</x:v>
      </x:c>
      <x:c r="D7" s="14" t="str">
        <x:v>Recurrente condicionada</x:v>
      </x:c>
      <x:c r="E7" s="14" t="str">
        <x:v>Mina San Marcos y Huallanca</x:v>
      </x:c>
      <x:c r="F7" s="14" t="str">
        <x:v>San Marcos; Huallanca; Aquia</x:v>
      </x:c>
      <x:c r="G7" s="14" t="str">
        <x:v>Empleo local, proveedores, contrataciones directas y acceso a oportunidades</x:v>
      </x:c>
      <x:c r="H7" s="14" t="str">
        <x:v>Las demandas laborales y de contratación local suelen activarse con rotaciones, inicio de proyectos, cambios de contratistas o percepción de exclusión; no existe una fecha exacta común.</x:v>
      </x:c>
      <x:c r="I7" s="14" t="str">
        <x:v>El empleo local y la participación de proveedores continúan siendo temas sensibles en el corredor minero.</x:v>
      </x:c>
      <x:c r="J7" s="14" t="str">
        <x:v>Probabilidad media-alta de plantones o restricciones de acceso ante listas de contratación cuestionadas o compromisos vencidos.</x:v>
      </x:c>
      <x:c r="K7" s="14" t="str">
        <x:v>Media-alta</x:v>
      </x:c>
      <x:c r="L7" s="14" t="str">
        <x:v>MEDIO-ALTO</x:v>
      </x:c>
      <x:c r="M7" s="14" t="str">
        <x:v>Convocatorias laborales; ingreso de personal foráneo; cambio de contratista; utilidades; actas incumplidas.</x:v>
      </x:c>
      <x:c r="N7" s="14" t="str">
        <x:v>Plantón en accesos, presión a contratistas, asamblea comunal o bloqueo breve.</x:v>
      </x:c>
      <x:c r="O7" s="14" t="str">
        <x:v>Cruzar cronogramas de contratación con compromisos locales y activar diálogo antes de publicar listas o iniciar servicios.</x:v>
      </x:c>
      <x:c r="P7" s="14" t="str">
        <x:v>Recurrente condicionada; requiere validación anual</x:v>
      </x:c>
      <x:c r="Q7" s="14" t="str">
        <x:v>https://www.antamina.com/gestion-social/</x:v>
      </x:c>
      <x:c r="R7" s="14" t="str">
        <x:v>https://www.theguardian.com/global-development/2025/feb/04/the-last-drops-of-our-water-how-a-mine-left-some-of-perus-poorest-high-and-dry</x:v>
      </x:c>
    </x:row>
    <x:row r="8" ht="78" customHeight="1">
      <x:c r="A8" s="14" t="n">
        <x:v>4</x:v>
      </x:c>
      <x:c r="B8" s="14" t="str">
        <x:v>Cívico / tradicional</x:v>
      </x:c>
      <x:c r="C8" s="14" t="str">
        <x:v>25 de abril–6 de mayo</x:v>
      </x:c>
      <x:c r="D8" s="14" t="str">
        <x:v>Anual</x:v>
      </x:c>
      <x:c r="E8" s="14" t="str">
        <x:v>Mina San Marcos y Valle Fortaleza</x:v>
      </x:c>
      <x:c r="F8" s="14" t="str">
        <x:v>San Marcos; Cajacay; Aquia; Cátac; Paramonga</x:v>
      </x:c>
      <x:c r="G8" s="14" t="str">
        <x:v>Aniversarios, cruces, fiestas patronales y Día Internacional del Trabajo</x:v>
      </x:c>
      <x:c r="H8" s="14" t="str">
        <x:v>Cada año se superponen celebraciones cívicas y religiosas con el 1 de mayo, generando alta movilidad, reuniones comunales y espacios para pronunciamientos.</x:v>
      </x:c>
      <x:c r="I8" s="14" t="str">
        <x:v>Las festividades mantienen convocatoria local y retorno de residentes; en contextos de demandas activas pueden incorporar mensajes políticos o sociales.</x:v>
      </x:c>
      <x:c r="J8" s="14" t="str">
        <x:v>Alta recurrencia de concentraciones; el riesgo de conflicto depende de reclamos laborales, ambientales o municipales vigentes.</x:v>
      </x:c>
      <x:c r="K8" s="14" t="str">
        <x:v>Alta</x:v>
      </x:c>
      <x:c r="L8" s="14" t="str">
        <x:v>ALTO</x:v>
      </x:c>
      <x:c r="M8" s="14" t="str">
        <x:v>Convocatoria sindical; discurso de autoridades; consumo de alcohol; actividades taurinas; reclamos acumulados.</x:v>
      </x:c>
      <x:c r="N8" s="14" t="str">
        <x:v>Concentraciones masivas, cierre de calles, marcha laboral o incidentes de orden público.</x:v>
      </x:c>
      <x:c r="O8" s="14" t="str">
        <x:v>Activar alerta del 24 de abril al 7 de mayo; coordinar seguridad vial, aforos, rutas alternas y monitoreo de discursos.</x:v>
      </x:c>
      <x:c r="P8" s="14" t="str">
        <x:v>Fecha anual consolidada</x:v>
      </x:c>
      <x:c r="Q8" s="14" t="str">
        <x:v>https://es.wikipedia.org/wiki/Distrito_de_Aquia</x:v>
      </x:c>
      <x:c r="R8" s="14" t="str">
        <x:v>https://es.wikipedia.org/wiki/Distrito_de_Paramonga</x:v>
      </x:c>
    </x:row>
    <x:row r="9" ht="78" customHeight="1">
      <x:c r="A9" s="14" t="n">
        <x:v>5</x:v>
      </x:c>
      <x:c r="B9" s="14" t="str">
        <x:v>Comunal / agrario</x:v>
      </x:c>
      <x:c r="C9" s="14" t="str">
        <x:v>23–29 de junio</x:v>
      </x:c>
      <x:c r="D9" s="14" t="str">
        <x:v>Anual</x:v>
      </x:c>
      <x:c r="E9" s="14" t="str">
        <x:v>Mina San Marcos y Valle Fortaleza</x:v>
      </x:c>
      <x:c r="F9" s="14" t="str">
        <x:v>San Pedro de Chaná; Pararín; comunidades rurales de las cuatro UGT</x:v>
      </x:c>
      <x:c r="G9" s="14" t="str">
        <x:v>San Pedro, San Juan, Día del Campesino y demandas agrarias</x:v>
      </x:c>
      <x:c r="H9" s="14" t="str">
        <x:v>Las fechas convocan anualmente a comunidades campesinas, autoridades y asociaciones; facilitan asambleas, balances y presentación pública de demandas.</x:v>
      </x:c>
      <x:c r="I9" s="14" t="str">
        <x:v>La agenda agraria se mantiene vinculada a agua, vías, riego, empleo y compromisos con gobiernos y empresas.</x:v>
      </x:c>
      <x:c r="J9" s="14" t="str">
        <x:v>Probabilidad media-alta de pronunciamientos, delegaciones o medidas de presión si existen acuerdos pendientes.</x:v>
      </x:c>
      <x:c r="K9" s="14" t="str">
        <x:v>Media-alta</x:v>
      </x:c>
      <x:c r="L9" s="14" t="str">
        <x:v>MEDIO-ALTO</x:v>
      </x:c>
      <x:c r="M9" s="14" t="str">
        <x:v>Falta de agua; proyectos de riego; incumplimiento de convenios; afectación de pastos; convocatorias comunales.</x:v>
      </x:c>
      <x:c r="N9" s="14" t="str">
        <x:v>Asambleas, marchas locales, bloqueo preventivo o traslado de delegaciones.</x:v>
      </x:c>
      <x:c r="O9" s="14" t="str">
        <x:v>Monitorear convocatorias desde la segunda semana de junio y revisar compromisos con comunidades y juntas de usuarios.</x:v>
      </x:c>
      <x:c r="P9" s="14" t="str">
        <x:v>Fecha anual consolidada</x:v>
      </x:c>
      <x:c r="Q9" s="14" t="str">
        <x:v>https://es.wikipedia.org/wiki/Distrito_de_San_Pedro_de_Chan%C3%A1</x:v>
      </x:c>
      <x:c r="R9" s="14" t="str">
        <x:v>https://es.wikipedia.org/wiki/Distrito_de_Parar%C3%ADn</x:v>
      </x:c>
    </x:row>
    <x:row r="10" ht="78" customHeight="1">
      <x:c r="A10" s="14" t="n">
        <x:v>6</x:v>
      </x:c>
      <x:c r="B10" s="14" t="str">
        <x:v>Patronal / concentración social</x:v>
      </x:c>
      <x:c r="C10" s="14" t="str">
        <x:v>15–18 de julio</x:v>
      </x:c>
      <x:c r="D10" s="14" t="str">
        <x:v>Anual</x:v>
      </x:c>
      <x:c r="E10" s="14" t="str">
        <x:v>Mina San Marcos y Huallanca</x:v>
      </x:c>
      <x:c r="F10" s="14" t="str">
        <x:v>Chavín de Huántar; Huallanca</x:v>
      </x:c>
      <x:c r="G10" s="14" t="str">
        <x:v>Festividad de la Virgen del Carmen</x:v>
      </x:c>
      <x:c r="H10" s="14" t="str">
        <x:v>La festividad se realiza cada año y concentra población local, visitantes, autoridades, actividades religiosas y eventos nocturnos.</x:v>
      </x:c>
      <x:c r="I10" s="14" t="str">
        <x:v>La convocatoria se mantiene alta y coincide con el inicio de una etapa de mayor actividad política y electoral en 2026.</x:v>
      </x:c>
      <x:c r="J10" s="14" t="str">
        <x:v>Alta exposición operativa por concentración, tránsito, consumo de alcohol y eventual uso de la festividad para pronunciamientos.</x:v>
      </x:c>
      <x:c r="K10" s="14" t="str">
        <x:v>Alta</x:v>
      </x:c>
      <x:c r="L10" s="14" t="str">
        <x:v>ALTO</x:v>
      </x:c>
      <x:c r="M10" s="14" t="str">
        <x:v>Discursos de autoridades; reclamos locales; actividades taurinas; accidentes; conflicto entre grupos.</x:v>
      </x:c>
      <x:c r="N10" s="14" t="str">
        <x:v>Cierre de calles, saturación de rutas, incidentes de orden público o concentración reivindicativa.</x:v>
      </x:c>
      <x:c r="O10" s="14" t="str">
        <x:v>Alerta reforzada del 14 al 19 de julio; monitorear programas oficiales, transporte, autoridades y actores sociales.</x:v>
      </x:c>
      <x:c r="P10" s="14" t="str">
        <x:v>Fecha anual consolidada</x:v>
      </x:c>
      <x:c r="Q10" s="14" t="str">
        <x:v>https://es.wikipedia.org/wiki/Distrito_de_Huallanca_%28Bolognesi%29</x:v>
      </x:c>
      <x:c r="R10" s="14" t="str">
        <x:v>https://es.wikipedia.org/wiki/Distrito_de_Chav%C3%ADn_de_Hu%C3%A1ntar</x:v>
      </x:c>
    </x:row>
    <x:row r="11" ht="78" customHeight="1">
      <x:c r="A11" s="14" t="n">
        <x:v>7</x:v>
      </x:c>
      <x:c r="B11" s="14" t="str">
        <x:v>Político nacional / festivo</x:v>
      </x:c>
      <x:c r="C11" s="14" t="str">
        <x:v>27 de julio–1 de agosto</x:v>
      </x:c>
      <x:c r="D11" s="14" t="str">
        <x:v>Anual con intensidad coyuntural</x:v>
      </x:c>
      <x:c r="E11" s="14" t="str">
        <x:v>Todas las UGT</x:v>
      </x:c>
      <x:c r="F11" s="14" t="str">
        <x:v>Todos los distritos; mayor exposición en Huallanca, San Marcos, Chiquián, Paramonga y Huarmey</x:v>
      </x:c>
      <x:c r="G11" s="14" t="str">
        <x:v>Fiestas Patrias, semana turística y posibles protestas nacionales</x:v>
      </x:c>
      <x:c r="H11" s="14" t="str">
        <x:v>Las celebraciones patrias son anuales; las marchas o paros dependen de la coyuntura política y de la adhesión de organizaciones locales.</x:v>
      </x:c>
      <x:c r="I11" s="14" t="str">
        <x:v>Huallanca concentra además su semana turística y feria taurina, elevando movilidad y exposición operativa.</x:v>
      </x:c>
      <x:c r="J11" s="14" t="str">
        <x:v>Probabilidad media-alta de concentraciones y cierres; puede aumentar ante crisis política o convocatorias nacionales.</x:v>
      </x:c>
      <x:c r="K11" s="14" t="str">
        <x:v>Media-alta</x:v>
      </x:c>
      <x:c r="L11" s="14" t="str">
        <x:v>ALTO</x:v>
      </x:c>
      <x:c r="M11" s="14" t="str">
        <x:v>Convocatoria nacional; adhesión de gremios o rondas; discurso político; incidentes en eventos masivos.</x:v>
      </x:c>
      <x:c r="N11" s="14" t="str">
        <x:v>Marcha urbana, concentración cívica, bloqueo temporal o afectación de tránsito interprovincial.</x:v>
      </x:c>
      <x:c r="O11" s="14" t="str">
        <x:v>Mantener monitoreo nacional y local desde el 20 de julio; confirmar adhesiones y asegurar rutas críticas.</x:v>
      </x:c>
      <x:c r="P11" s="14" t="str">
        <x:v>Anual consolidada; conflicto condicionado</x:v>
      </x:c>
      <x:c r="Q11" s="14" t="str">
        <x:v>https://es.wikipedia.org/wiki/Distrito_de_Huallanca_%28Bolognesi%29</x:v>
      </x:c>
      <x:c r="R11" s="14" t="str">
        <x:v>https://www.defensoria.gob.pe/defensoria-del-pueblo-reporta-287-acciones-colectivas-de-protesta-desarrolladas-en-julio/</x:v>
      </x:c>
    </x:row>
    <x:row r="12" ht="78" customHeight="1">
      <x:c r="A12" s="14" t="n">
        <x:v>8</x:v>
      </x:c>
      <x:c r="B12" s="14" t="str">
        <x:v>Patronal / concentración social</x:v>
      </x:c>
      <x:c r="C12" s="14" t="str">
        <x:v>8 de agosto–4 de septiembre</x:v>
      </x:c>
      <x:c r="D12" s="14" t="str">
        <x:v>Anual</x:v>
      </x:c>
      <x:c r="E12" s="14" t="str">
        <x:v>Valle Fortaleza / Bolognesi y Recuay</x:v>
      </x:c>
      <x:c r="F12" s="14" t="str">
        <x:v>Marca; Chiquián; Cátac</x:v>
      </x:c>
      <x:c r="G12" s="14" t="str">
        <x:v>San Lorenzo, Santa Rosa de Lima, ferias taurinas y retorno de residentes</x:v>
      </x:c>
      <x:c r="H12" s="14" t="str">
        <x:v>Las festividades se repiten cada año y generan una secuencia de eventos masivos, comparsas, corridas y tránsito de visitantes.</x:v>
      </x:c>
      <x:c r="I12" s="14" t="str">
        <x:v>Chiquián mantiene una fiesta de amplia convocatoria y reconocimiento cultural; Marca y Cátac concentran actividades patronales.</x:v>
      </x:c>
      <x:c r="J12" s="14" t="str">
        <x:v>Alta exposición por movilidad, eventos nocturnos y posibilidad de que autoridades o colectivos incorporen demandas locales.</x:v>
      </x:c>
      <x:c r="K12" s="14" t="str">
        <x:v>Alta</x:v>
      </x:c>
      <x:c r="L12" s="14" t="str">
        <x:v>ALTO</x:v>
      </x:c>
      <x:c r="M12" s="14" t="str">
        <x:v>Consumo de alcohol; actividades taurinas; conflictos vecinales; discursos políticos; reclamos por obras o servicios.</x:v>
      </x:c>
      <x:c r="N12" s="14" t="str">
        <x:v>Cierre de vías urbanas, accidentes, alteración del orden o concentración reivindicativa.</x:v>
      </x:c>
      <x:c r="O12" s="14" t="str">
        <x:v>Planificar cobertura escalonada del 7 de agosto al 5 de septiembre; identificar eventos de mayor aforo y rutas de evacuación.</x:v>
      </x:c>
      <x:c r="P12" s="14" t="str">
        <x:v>Fecha anual consolidada</x:v>
      </x:c>
      <x:c r="Q12" s="14" t="str">
        <x:v>https://es.wikipedia.org/wiki/Chiqui%C3%A1n</x:v>
      </x:c>
      <x:c r="R12" s="14" t="str">
        <x:v>https://es.wikipedia.org/wiki/Distrito_de_Marca</x:v>
      </x:c>
    </x:row>
    <x:row r="13" ht="78" customHeight="1">
      <x:c r="A13" s="15" t="n">
        <x:v>9</x:v>
      </x:c>
      <x:c r="B13" s="15" t="str">
        <x:v>Patronal / concentración social</x:v>
      </x:c>
      <x:c r="C13" s="15" t="str">
        <x:v>22 de septiembre–3 de octubre</x:v>
      </x:c>
      <x:c r="D13" s="15" t="str">
        <x:v>Anual</x:v>
      </x:c>
      <x:c r="E13" s="15" t="str">
        <x:v>Huallanca y Valle Fortaleza</x:v>
      </x:c>
      <x:c r="F13" s="15" t="str">
        <x:v>Aquia; Paramonga</x:v>
      </x:c>
      <x:c r="G13" s="15" t="str">
        <x:v>San Miguel Arcángel y Virgen de las Mercedes</x:v>
      </x:c>
      <x:c r="H13" s="15" t="str">
        <x:v>Ambas celebraciones son anuales y concentran actividades religiosas, culturales y sociales durante varios días.</x:v>
      </x:c>
      <x:c r="I13" s="15" t="str">
        <x:v>Las festividades mantienen participación local y de residentes; pueden amplificar demandas si coinciden con conflictos comunales o laborales.</x:v>
      </x:c>
      <x:c r="J13" s="15" t="str">
        <x:v>Probabilidad media-alta de cierres, reuniones y pronunciamientos; escalamiento condicionado a detonantes locales.</x:v>
      </x:c>
      <x:c r="K13" s="15" t="str">
        <x:v>Media-alta</x:v>
      </x:c>
      <x:c r="L13" s="15" t="str">
        <x:v>MEDIO-ALTO</x:v>
      </x:c>
      <x:c r="M13" s="15" t="str">
        <x:v>Reclamos comunales; empleo; minería; servicios municipales; actividades taurinas o nocturnas.</x:v>
      </x:c>
      <x:c r="N13" s="15" t="str">
        <x:v>Concentraciones, cierres de calles, asambleas o plantón ante autoridades.</x:v>
      </x:c>
      <x:c r="O13" s="15" t="str">
        <x:v>Alerta preventiva desde el 20 de septiembre; coordinar con municipalidades y monitorear mensajes de dirigentes.</x:v>
      </x:c>
      <x:c r="P13" s="15" t="str">
        <x:v>Fecha anual consolidada</x:v>
      </x:c>
      <x:c r="Q13" s="15" t="str">
        <x:v>https://es.wikipedia.org/wiki/Distrito_de_Aquia</x:v>
      </x:c>
      <x:c r="R13" s="15" t="str">
        <x:v>https://es.wikipedia.org/wiki/Distrito_de_Paramonga</x:v>
      </x:c>
    </x:row>
    <x:row r="14" ht="78" customHeight="1">
      <x:c r="A14" s="15" t="n">
        <x:v>10</x:v>
      </x:c>
      <x:c r="B14" s="15" t="str">
        <x:v>Cívico / socioambiental</x:v>
      </x:c>
      <x:c r="C14" s="15" t="str">
        <x:v>Primera quincena de octubre</x:v>
      </x:c>
      <x:c r="D14" s="15" t="str">
        <x:v>Anual; intensidad condicionada</x:v>
      </x:c>
      <x:c r="E14" s="15" t="str">
        <x:v>Huarmey / Huarmey</x:v>
      </x:c>
      <x:c r="F14" s="15" t="str">
        <x:v>Huarmey</x:v>
      </x:c>
      <x:c r="G14" s="15" t="str">
        <x:v>Virgen del Rosario, agenda provincial, salud y ambiente</x:v>
      </x:c>
      <x:c r="H14" s="15" t="str">
        <x:v>La festividad patronal se repite anualmente y concentra autoridades y población; las demandas ambientales y sanitarias pueden aprovechar esta visibilidad.</x:v>
      </x:c>
      <x:c r="I14" s="15" t="str">
        <x:v>La agenda por metales pesados y atención sanitaria permanece activa, aumentando la sensibilidad de actos públicos.</x:v>
      </x:c>
      <x:c r="J14" s="15" t="str">
        <x:v>Probabilidad media-alta de pronunciamientos, plantones o marchas si se publican resultados o se percibe falta de respuesta.</x:v>
      </x:c>
      <x:c r="K14" s="15" t="str">
        <x:v>Media-alta</x:v>
      </x:c>
      <x:c r="L14" s="15" t="str">
        <x:v>MEDIO-ALTO</x:v>
      </x:c>
      <x:c r="M14" s="15" t="str">
        <x:v>Nuevos resultados; pronunciamiento de afectados; presencia de autoridades; incidentes en Puerto Huarmey.</x:v>
      </x:c>
      <x:c r="N14" s="15" t="str">
        <x:v>Marcha o plantón en la ciudad, cierre temporal de calles y presión pública a instituciones.</x:v>
      </x:c>
      <x:c r="O14" s="15" t="str">
        <x:v>Monitorear programas y convocatorias desde finales de septiembre; preparar respuesta comunicacional y sanitaria basada en evidencia.</x:v>
      </x:c>
      <x:c r="P14" s="15" t="str">
        <x:v>Fecha anual con riesgo condicionado</x:v>
      </x:c>
      <x:c r="Q14" s="15" t="str">
        <x:v>https://es.wikipedia.org/wiki/Provincia_de_Huarmey</x:v>
      </x:c>
      <x:c r="R14" s="15" t="str">
        <x:v>https://es.wikipedia.org/wiki/Contaminaci%C3%B3n_por_ars%C3%A9nico_en_Huarmey</x:v>
      </x:c>
    </x:row>
    <x:row r="15" ht="78" customHeight="1">
      <x:c r="A15" s="15" t="n">
        <x:v>11</x:v>
      </x:c>
      <x:c r="B15" s="15" t="str">
        <x:v>Histórica socioambiental</x:v>
      </x:c>
      <x:c r="C15" s="15" t="str">
        <x:v>24 de octubre–2 de noviembre</x:v>
      </x:c>
      <x:c r="D15" s="15" t="str">
        <x:v>Aniversario histórico; no anual demostrado</x:v>
      </x:c>
      <x:c r="E15" s="15" t="str">
        <x:v>Huallanca / Bolognesi</x:v>
      </x:c>
      <x:c r="F15" s="15" t="str">
        <x:v>Aquia; ruta de acceso a Antamina</x:v>
      </x:c>
      <x:c r="G15" s="15" t="str">
        <x:v>Memoria del bloqueo de 2021 y reclamos por tierras, compensaciones y beneficios</x:v>
      </x:c>
      <x:c r="H15" s="15" t="str">
        <x:v>En 2021 la comunidad de Aquia bloqueó operaciones y suspendió la protesta el 2 de noviembre; la fecha conserva valor de antecedente, pero no muestra recurrencia anual sólida.</x:v>
      </x:c>
      <x:c r="I15" s="15" t="str">
        <x:v>Los temas de tierras, compensaciones y beneficios comunales continúan siendo sensibles en la relación territorial.</x:v>
      </x:c>
      <x:c r="J15" s="15" t="str">
        <x:v>Probabilidad media y dependiente de actas vencidas, conflictos internos o nuevas controversias.</x:v>
      </x:c>
      <x:c r="K15" s="15" t="str">
        <x:v>Media</x:v>
      </x:c>
      <x:c r="L15" s="15" t="str">
        <x:v>MEDIO</x:v>
      </x:c>
      <x:c r="M15" s="15" t="str">
        <x:v>Incumplimiento de acuerdos; controversia de tierras; convocatoria comunal; cambio de dirigencia.</x:v>
      </x:c>
      <x:c r="N15" s="15" t="str">
        <x:v>Asamblea, plantón, bloqueo de vía o suspensión temporal de tránsito.</x:v>
      </x:c>
      <x:c r="O15" s="15" t="str">
        <x:v>Mantener alerta secundaria desde el 20 de octubre al 5 de noviembre y revisar compromisos de Aquia antes de la ventana.</x:v>
      </x:c>
      <x:c r="P15" s="15" t="str">
        <x:v>Histórica; no anual demostrada</x:v>
      </x:c>
      <x:c r="Q15" s="15" t="str">
        <x:v>https://en.wikipedia.org/wiki/Antamina_mine</x:v>
      </x:c>
      <x:c r="R15" s="15" t="str">
        <x:v>https://es.wikipedia.org/wiki/Protestas_mineras_de_Per%C3%BA_de_2021-2022</x:v>
      </x:c>
    </x:row>
    <x:row r="16" ht="78" customHeight="1">
      <x:c r="A16" s="15" t="n">
        <x:v>12</x:v>
      </x:c>
      <x:c r="B16" s="15" t="str">
        <x:v>Cívico / concentración social</x:v>
      </x:c>
      <x:c r="C16" s="15" t="str">
        <x:v>17 de octubre–8 de noviembre</x:v>
      </x:c>
      <x:c r="D16" s="15" t="str">
        <x:v>Anual</x:v>
      </x:c>
      <x:c r="E16" s="15" t="str">
        <x:v>Mina San Marcos y Valle Fortaleza</x:v>
      </x:c>
      <x:c r="F16" s="15" t="str">
        <x:v>Chavín de Huántar; Pampas Chico; Llacllín</x:v>
      </x:c>
      <x:c r="G16" s="15" t="str">
        <x:v>Aniversarios distritales y actividades cívicas</x:v>
      </x:c>
      <x:c r="H16" s="15" t="str">
        <x:v>Los aniversarios se celebran cada año con sesiones solemnes, desfiles, verbenas, ferias y retorno de residentes.</x:v>
      </x:c>
      <x:c r="I16" s="15" t="str">
        <x:v>Las actividades mantienen convocatoria local y elevan la exposición de autoridades a reclamos por obras, servicios y empleo.</x:v>
      </x:c>
      <x:c r="J16" s="15" t="str">
        <x:v>Probabilidad media de pronunciamientos o protestas localizadas si existen demandas activas.</x:v>
      </x:c>
      <x:c r="K16" s="15" t="str">
        <x:v>Media</x:v>
      </x:c>
      <x:c r="L16" s="15" t="str">
        <x:v>MEDIO</x:v>
      </x:c>
      <x:c r="M16" s="15" t="str">
        <x:v>Obras paralizadas; servicios básicos; conflictos municipales; reclamos comunales; rivalidad política.</x:v>
      </x:c>
      <x:c r="N16" s="15" t="str">
        <x:v>Plantón frente al municipio, interrupción de ceremonia o cierre temporal de calles.</x:v>
      </x:c>
      <x:c r="O16" s="15" t="str">
        <x:v>Monitorear programas oficiales y demandas pendientes desde una semana antes de cada aniversario.</x:v>
      </x:c>
      <x:c r="P16" s="15" t="str">
        <x:v>Fecha anual consolidada</x:v>
      </x:c>
      <x:c r="Q16" s="15" t="str">
        <x:v>https://es.wikipedia.org/wiki/Distrito_de_Chav%C3%ADn_de_Hu%C3%A1ntar</x:v>
      </x:c>
      <x:c r="R16" s="15" t="str">
        <x:v>https://es.wikipedia.org/wiki/Distrito_de_Llacll%C3%ADn</x:v>
      </x:c>
    </x:row>
    <x:row r="17" ht="78" customHeight="1">
      <x:c r="A17" s="15" t="n">
        <x:v>13</x:v>
      </x:c>
      <x:c r="B17" s="15" t="str">
        <x:v>Cívico / concentración social</x:v>
      </x:c>
      <x:c r="C17" s="15" t="str">
        <x:v>21–23 de noviembre</x:v>
      </x:c>
      <x:c r="D17" s="15" t="str">
        <x:v>Anual</x:v>
      </x:c>
      <x:c r="E17" s="15" t="str">
        <x:v>Huallanca y Valle Fortaleza</x:v>
      </x:c>
      <x:c r="F17" s="15" t="str">
        <x:v>Huallanca; Paramonga</x:v>
      </x:c>
      <x:c r="G17" s="15" t="str">
        <x:v>Aniversarios cívicos locales</x:v>
      </x:c>
      <x:c r="H17" s="15" t="str">
        <x:v>Las fechas se repiten anualmente y concentran verbenas, desfiles, ferias y presencia de autoridades.</x:v>
      </x:c>
      <x:c r="I17" s="15" t="str">
        <x:v>Huallanca y Paramonga mantienen alta movilidad y exposición pública durante sus celebraciones.</x:v>
      </x:c>
      <x:c r="J17" s="15" t="str">
        <x:v>Probabilidad media-alta de incidentes de orden o uso de actos oficiales para presentar demandas.</x:v>
      </x:c>
      <x:c r="K17" s="15" t="str">
        <x:v>Media-alta</x:v>
      </x:c>
      <x:c r="L17" s="15" t="str">
        <x:v>MEDIO-ALTO</x:v>
      </x:c>
      <x:c r="M17" s="15" t="str">
        <x:v>Reclamos municipales; empleo; servicios; discursos políticos; consumo de alcohol.</x:v>
      </x:c>
      <x:c r="N17" s="15" t="str">
        <x:v>Cierre de vías, plantón, incidente en evento masivo o alteración del orden.</x:v>
      </x:c>
      <x:c r="O17" s="15" t="str">
        <x:v>Reforzar coordinación local del 20 al 24 de noviembre y asegurar rutas alternativas.</x:v>
      </x:c>
      <x:c r="P17" s="15" t="str">
        <x:v>Fecha anual consolidada</x:v>
      </x:c>
      <x:c r="Q17" s="15" t="str">
        <x:v>https://es.wikipedia.org/wiki/Distrito_de_Huallanca_%28Bolognesi%29</x:v>
      </x:c>
      <x:c r="R17" s="15" t="str">
        <x:v>https://es.wikipedia.org/wiki/Distrito_de_Paramonga</x:v>
      </x:c>
    </x:row>
    <x:row r="18" ht="78" customHeight="1">
      <x:c r="A18" s="15" t="n">
        <x:v>14</x:v>
      </x:c>
      <x:c r="B18" s="15" t="str">
        <x:v>Cívico / fin de año</x:v>
      </x:c>
      <x:c r="C18" s="15" t="str">
        <x:v>20–31 de diciembre</x:v>
      </x:c>
      <x:c r="D18" s="15" t="str">
        <x:v>Anual</x:v>
      </x:c>
      <x:c r="E18" s="15" t="str">
        <x:v>Huarmey y Huallanca</x:v>
      </x:c>
      <x:c r="F18" s="15" t="str">
        <x:v>Huarmey; Huallanca; corredores viales</x:v>
      </x:c>
      <x:c r="G18" s="15" t="str">
        <x:v>Aniversario provincial, Navidad, retorno de residentes y alta movilidad</x:v>
      </x:c>
      <x:c r="H18" s="15" t="str">
        <x:v>El aniversario de Huarmey y las fiestas de fin de año se repiten anualmente, elevando tránsito, consumo y eventos públicos.</x:v>
      </x:c>
      <x:c r="I18" s="15" t="str">
        <x:v>La movilidad interprovincial aumenta y se superpone con balances políticos, reclamos de cierre de año y actividades comerciales.</x:v>
      </x:c>
      <x:c r="J18" s="15" t="str">
        <x:v>Probabilidad media de cierres, protestas puntuales o incidentes viales y de orden público.</x:v>
      </x:c>
      <x:c r="K18" s="15" t="str">
        <x:v>Media</x:v>
      </x:c>
      <x:c r="L18" s="15" t="str">
        <x:v>MEDIO</x:v>
      </x:c>
      <x:c r="M18" s="15" t="str">
        <x:v>Balances de gestión; pagos pendientes; accidentes; inseguridad; protestas de trabajadores.</x:v>
      </x:c>
      <x:c r="N18" s="15" t="str">
        <x:v>Marcha o plantón puntual, congestión severa o incidente en carretera.</x:v>
      </x:c>
      <x:c r="O18" s="15" t="str">
        <x:v>Alerta del 18 de diciembre al 2 de enero; reforzar monitoreo vial, laboral y municipal.</x:v>
      </x:c>
      <x:c r="P18" s="15" t="str">
        <x:v>Fecha anual consolidada</x:v>
      </x:c>
      <x:c r="Q18" s="15" t="str">
        <x:v>https://es.wikipedia.org/wiki/Provincia_de_Huarmey</x:v>
      </x:c>
      <x:c r="R18" s="15" t="str">
        <x:v>https://es.wikipedia.org/wiki/Distrito_de_Huallanca_%28Bolognesi%29</x:v>
      </x:c>
    </x:row>
    <x:row r="19" ht="78" customHeight="1">
      <x:c r="A19" s="15" t="n">
        <x:v>15</x:v>
      </x:c>
      <x:c r="B19" s="15" t="str">
        <x:v>Político-electoral</x:v>
      </x:c>
      <x:c r="C19" s="15" t="str">
        <x:v>15 de julio–14 de octubre de 2026</x:v>
      </x:c>
      <x:c r="D19" s="15" t="str">
        <x:v>Ciclo cada cuatro años</x:v>
      </x:c>
      <x:c r="E19" s="15" t="str">
        <x:v>Todas las UGT / Áncash y Lima</x:v>
      </x:c>
      <x:c r="F19" s="15" t="str">
        <x:v>Los 18 distritos evaluados; mayor exposición en San Marcos, Chiquián, Huallanca, Paramonga y Huarmey</x:v>
      </x:c>
      <x:c r="G19" s="15" t="str">
        <x:v>Elecciones regionales, provinciales y distritales 2026</x:v>
      </x:c>
      <x:c r="H19" s="15" t="str">
        <x:v>Los procesos municipales generan de forma recurrente tachas, disputas internas, denuncias de fraude, votos golondrinos y protestas durante escrutinio.</x:v>
      </x:c>
      <x:c r="I19" s="15" t="str">
        <x:v>El calendario ERM 2026 concentra hitos entre inscripción, exclusiones, cierre de campaña, jornada electoral y posresultados.</x:v>
      </x:c>
      <x:c r="J19" s="15" t="str">
        <x:v>Probabilidad media-alta de plantones, marchas o bloqueos breves ante exclusiones o resultados estrechos.</x:v>
      </x:c>
      <x:c r="K19" s="15" t="str">
        <x:v>Media-alta</x:v>
      </x:c>
      <x:c r="L19" s="15" t="str">
        <x:v>ALTO</x:v>
      </x:c>
      <x:c r="M19" s="15" t="str">
        <x:v>Tachas; exclusión de candidatos; agresiones; votos golondrinos; fallas logísticas; resultados estrechos; nulidad.</x:v>
      </x:c>
      <x:c r="N19" s="15" t="str">
        <x:v>Plantones ante JEE/ODPE, marchas, vigilancia nocturna del conteo y pedido de reconteo.</x:v>
      </x:c>
      <x:c r="O19" s="15" t="str">
        <x:v>Seguimiento continuo desde julio; máxima alerta del 22 de septiembre al 14 de octubre.</x:v>
      </x:c>
      <x:c r="P19" s="15" t="str">
        <x:v>Ciclo recurrente confirmado</x:v>
      </x:c>
      <x:c r="Q19" s="15" t="str">
        <x:v>https://www.gob.pe/institucion/jne/informes-publicaciones/8055863-cronograma-electoral-de-las-elecciones-regionales-y-municipales-2026</x:v>
      </x:c>
      <x:c r="R19" s="15" t="str">
        <x:v>https://www.gob.pe/institucion/onpe/campa%C3%B1as/143000-elecciones-regionales-y-municipales-2026</x:v>
      </x:c>
    </x:row>
    <x:row r="20" ht="78" customHeight="1">
      <x:c r="A20" s="15" t="n">
        <x:v>16</x:v>
      </x:c>
      <x:c r="B20" s="15" t="str">
        <x:v>Climático / vial</x:v>
      </x:c>
      <x:c r="C20" s="15" t="str">
        <x:v>Diciembre–marzo</x:v>
      </x:c>
      <x:c r="D20" s="15" t="str">
        <x:v>Anual estacional</x:v>
      </x:c>
      <x:c r="E20" s="15" t="str">
        <x:v>Mina San Marcos, Huallanca y Valle Fortaleza</x:v>
      </x:c>
      <x:c r="F20" s="15" t="str">
        <x:v>Distritos altoandinos y rutas San Marcos–Huallanca–Conococha–Pativilca</x:v>
      </x:c>
      <x:c r="G20" s="15" t="str">
        <x:v>Lluvias, deslizamientos, interrupción vial y aislamiento de comunidades</x:v>
      </x:c>
      <x:c r="H20" s="15" t="str">
        <x:v>La temporada de lluvias se repite cada año y provoca derrumbes, deterioro de vías y restricciones de tránsito, que pueden activar reclamos comunales.</x:v>
      </x:c>
      <x:c r="I20" s="15" t="str">
        <x:v>Las rutas de acceso y conexión presentan exposición a eventos naturales y mantenimiento insuficiente.</x:v>
      </x:c>
      <x:c r="J20" s="15" t="str">
        <x:v>Alta probabilidad de interrupciones; el riesgo social aumenta cuando la rehabilitación se demora o afecta actividades económicas.</x:v>
      </x:c>
      <x:c r="K20" s="15" t="str">
        <x:v>Alta</x:v>
      </x:c>
      <x:c r="L20" s="15" t="str">
        <x:v>ALTO</x:v>
      </x:c>
      <x:c r="M20" s="15" t="str">
        <x:v>Lluvias intensas; derrumbe; puente afectado; falta de maquinaria; accidente; aislamiento.</x:v>
      </x:c>
      <x:c r="N20" s="15" t="str">
        <x:v>Bloqueo natural prolongado, reclamo comunal, cierre preventivo o presión a autoridades y empresas.</x:v>
      </x:c>
      <x:c r="O20" s="15" t="str">
        <x:v>Preposicionar información, rutas alternas y coordinación con Provías, municipios y comunidades desde noviembre.</x:v>
      </x:c>
      <x:c r="P20" s="15" t="str">
        <x:v>Recurrente estacional consolidada</x:v>
      </x:c>
      <x:c r="Q20" s="15" t="str">
        <x:v>https://es.wikipedia.org/wiki/San_Marcos_%28Huari%29</x:v>
      </x:c>
      <x:c r="R20" s="15" t="str">
        <x:v>https://es.wikipedia.org/wiki/Distrito_de_C%C3%A1tac</x:v>
      </x:c>
    </x:row>
    <x:row r="21" ht="78" customHeight="1">
      <x:c r="A21" s="15" t="n">
        <x:v>17</x:v>
      </x:c>
      <x:c r="B21" s="15" t="str">
        <x:v>Vial / ambiental</x:v>
      </x:c>
      <x:c r="C21" s="15" t="str">
        <x:v>Todo el año; mayor exposición ante incidentes</x:v>
      </x:c>
      <x:c r="D21" s="15" t="str">
        <x:v>Recurrente condicionada</x:v>
      </x:c>
      <x:c r="E21" s="15" t="str">
        <x:v>Valle Fortaleza / Bolognesi–Barranca</x:v>
      </x:c>
      <x:c r="F21" s="15" t="str">
        <x:v>Cajacay; Colquioc; Paramonga; corredor Pativilca–Conococha</x:v>
      </x:c>
      <x:c r="G21" s="15" t="str">
        <x:v>Mineroducto, obras viales, respuesta a incidentes y percepción de riesgo ambiental</x:v>
      </x:c>
      <x:c r="H21" s="15" t="str">
        <x:v>El corredor registra antecedentes de derrames en Cajacay y Paramonga; la preocupación se reactiva ante obras, excavaciones o cualquier incidente cercano al mineroducto.</x:v>
      </x:c>
      <x:c r="I21" s="15" t="str">
        <x:v>La continuidad de obras y tránsito pesado mantiene la sensibilidad sobre seguridad, información y respuesta a emergencias.</x:v>
      </x:c>
      <x:c r="J21" s="15" t="str">
        <x:v>Probabilidad media-alta de movilización localizada si ocurre fuga, daño, demora informativa o afectación a predios.</x:v>
      </x:c>
      <x:c r="K21" s="15" t="str">
        <x:v>Media-alta</x:v>
      </x:c>
      <x:c r="L21" s="15" t="str">
        <x:v>MEDIO-ALTO</x:v>
      </x:c>
      <x:c r="M21" s="15" t="str">
        <x:v>Daño al ducto; obra sin coordinación; fuga; afectación de cultivos; información tardía; accidente vehicular.</x:v>
      </x:c>
      <x:c r="N21" s="15" t="str">
        <x:v>Concentración vecinal, bloqueo preventivo, exigencia de inspección y compensación.</x:v>
      </x:c>
      <x:c r="O21" s="15" t="str">
        <x:v>Mantener protocolo de alerta y comunicación inmediata; mapear puntos críticos, autoridades y propietarios del corredor.</x:v>
      </x:c>
      <x:c r="P21" s="15" t="str">
        <x:v>Recurrente por antecedente; fecha no fija</x:v>
      </x:c>
      <x:c r="Q21" s="15" t="str">
        <x:v>https://es.wikipedia.org/wiki/Mineroducto_de_Antamina</x:v>
      </x:c>
      <x:c r="R21" s="15" t="str">
        <x:v>https://es.wikipedia.org/wiki/Derrame_de_concentrados_de_cobre_en_Cajacay</x:v>
      </x:c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</x:row>
  </x:sheetData>
  <x:mergeCells>
    <x:mergeCell ref="A1:R1"/>
    <x:mergeCell ref="A2:R2"/>
  </x:mergeCells>
  <x:conditionalFormatting sqref="L5:L12">
    <x:cfRule type="expression" dxfId="2" priority="1">
      <x:formula>OR(L5="ALTO",L5="MUY ALTO")</x:formula>
    </x:cfRule>
    <x:cfRule type="expression" dxfId="1" priority="2">
      <x:formula>OR(L5="MEDIO-ALTO",L5="MEDIO")</x:formula>
    </x:cfRule>
    <x:cfRule type="expression" dxfId="0" priority="3">
      <x:formula>OR(L5="MEDIO-BAJO",L5="BAJO-MEDIO")</x:formula>
    </x:cfRule>
  </x:conditionalFormatting>
  <x:dataValidations count="1">
    <x:dataValidation type="list" sqref="K5:K12">
      <x:formula1>"Alta,Media-alta,Media,Media-baja,Baja-variable"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52dcacb6444c21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2" customWidth="1"/>
    <x:col min="2" max="2" width="26" customWidth="1"/>
    <x:col min="3" max="3" width="24" customWidth="1"/>
    <x:col min="4" max="4" width="22" customWidth="1"/>
    <x:col min="5" max="6" width="16" customWidth="1"/>
    <x:col min="7" max="7" width="38" customWidth="1"/>
    <x:col min="8" max="8" width="10" customWidth="1"/>
  </x:cols>
  <x:sheetData>
    <x:row r="1" ht="20.25">
      <x:c r="A1" s="17" t="str">
        <x:v>RESUMEN EJECUTIVO – VENTANAS DE MAYOR EXPOSICIÓN UGT ANTAMINA</x:v>
      </x:c>
      <x:c r="B1" s="17"/>
      <x:c r="C1" s="17"/>
      <x:c r="D1" s="17"/>
      <x:c r="E1" s="17"/>
      <x:c r="F1" s="17"/>
      <x:c r="G1" s="17"/>
      <x:c r="H1" s="17"/>
      <x:c r="I1" s="15"/>
      <x:c r="J1" s="15"/>
      <x:c r="K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15">
      <x:c r="A3" s="19" t="str">
        <x:v>Indicador</x:v>
      </x:c>
      <x:c r="B3" s="19" t="str">
        <x:v>Resultado</x:v>
      </x:c>
      <x:c r="C3" s="15"/>
      <x:c r="D3" s="21" t="str">
        <x:v>Conclusión operativa</x:v>
      </x:c>
      <x:c r="E3" s="21"/>
      <x:c r="F3" s="21"/>
      <x:c r="G3" s="21"/>
      <x:c r="H3" s="21"/>
      <x:c r="I3" s="15"/>
      <x:c r="J3" s="19" t="str">
        <x:v>Nivel</x:v>
      </x:c>
      <x:c r="K3" s="19" t="str">
        <x:v>Cantidad</x:v>
      </x:c>
    </x:row>
    <x:row r="4" ht="25.5">
      <x:c r="A4" s="14" t="str">
        <x:v>Ventanas anuales consolidadas</x:v>
      </x:c>
      <x:c r="B4" s="14" t="n">
        <x:v>9</x:v>
      </x:c>
      <x:c r="C4" s="15"/>
      <x:c r="D4" s="22" t="str">
        <x:v>Las ventanas de mayor exposición combinan tres tipos de riesgo: conflictos socioambientales sin fecha fija en Huarmey y San Marcos; concentraciones anuales entre finales de abril y comienzos de septiembre; y el ciclo electoral 2026. Las prioridades operativas son febrero–mayo en Mina San Marcos, 25 de abril–6 de mayo en varios distritos, 15 de julio–4 de septiembre por festividades y Fiestas Patrias, y la etapa electoral del 22 de septiembre al 14 de octubre. Las fechas patronales no implican conflicto por sí mismas, pero elevan aforo, movilidad y visibilidad de reclamos.</x:v>
      </x:c>
      <x:c r="E4" s="22"/>
      <x:c r="F4" s="22"/>
      <x:c r="G4" s="22"/>
      <x:c r="H4" s="22"/>
      <x:c r="I4" s="15"/>
      <x:c r="J4" s="14" t="str">
        <x:v>Alto</x:v>
      </x:c>
      <x:c r="K4" s="14" t="n">
        <x:v>8</x:v>
      </x:c>
    </x:row>
    <x:row r="5" ht="25.5">
      <x:c r="A5" s="14" t="str">
        <x:v>Ventanas variables o condicionadas</x:v>
      </x:c>
      <x:c r="B5" s="14" t="n">
        <x:v>5</x:v>
      </x:c>
      <x:c r="C5" s="15"/>
      <x:c r="D5" s="22"/>
      <x:c r="E5" s="22"/>
      <x:c r="F5" s="22"/>
      <x:c r="G5" s="22"/>
      <x:c r="H5" s="22"/>
      <x:c r="I5" s="15"/>
      <x:c r="J5" s="14" t="str">
        <x:v>Medio-alto</x:v>
      </x:c>
      <x:c r="K5" s="14" t="n">
        <x:v>6</x:v>
      </x:c>
    </x:row>
    <x:row r="6">
      <x:c r="A6" s="14" t="str">
        <x:v>Ciclo electoral incorporado</x:v>
      </x:c>
      <x:c r="B6" s="14" t="n">
        <x:v>1</x:v>
      </x:c>
      <x:c r="C6" s="15"/>
      <x:c r="D6" s="22"/>
      <x:c r="E6" s="22"/>
      <x:c r="F6" s="22"/>
      <x:c r="G6" s="22"/>
      <x:c r="H6" s="22"/>
      <x:c r="I6" s="15"/>
      <x:c r="J6" s="14" t="str">
        <x:v>Medio</x:v>
      </x:c>
      <x:c r="K6" s="14" t="n">
        <x:v>3</x:v>
      </x:c>
    </x:row>
    <x:row r="7" ht="25.5">
      <x:c r="A7" s="14" t="str">
        <x:v>Distritos evaluados</x:v>
      </x:c>
      <x:c r="B7" s="14" t="n">
        <x:v>18</x:v>
      </x:c>
      <x:c r="C7" s="15"/>
      <x:c r="D7" s="22"/>
      <x:c r="E7" s="22"/>
      <x:c r="F7" s="22"/>
      <x:c r="G7" s="22"/>
      <x:c r="H7" s="22"/>
      <x:c r="I7" s="15"/>
      <x:c r="J7" s="14" t="str">
        <x:v>Bajo/variable</x:v>
      </x:c>
      <x:c r="K7" s="14" t="n">
        <x:v>0</x:v>
      </x:c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 ht="15">
      <x:c r="A10" s="21" t="str">
        <x:v>Calendario resumido</x:v>
      </x:c>
      <x:c r="B10" s="21"/>
      <x:c r="C10" s="21"/>
      <x:c r="D10" s="21"/>
      <x:c r="E10" s="21"/>
      <x:c r="F10" s="21"/>
      <x:c r="G10" s="21"/>
      <x:c r="H10" s="21"/>
      <x:c r="I10" s="15"/>
      <x:c r="J10" s="15"/>
      <x:c r="K10" s="15"/>
    </x:row>
    <x:row r="11">
      <x:c r="A11" s="19" t="str">
        <x:v>Periodo</x:v>
      </x:c>
      <x:c r="B11" s="19" t="str">
        <x:v>Zona principal</x:v>
      </x:c>
      <x:c r="C11" s="19" t="str">
        <x:v>Tipo</x:v>
      </x:c>
      <x:c r="D11" s="19" t="str">
        <x:v>Recurrencia</x:v>
      </x:c>
      <x:c r="E11" s="19" t="str">
        <x:v>Probabilidad</x:v>
      </x:c>
      <x:c r="F11" s="19" t="str">
        <x:v>Nivel</x:v>
      </x:c>
      <x:c r="G11" s="19" t="str">
        <x:v>Escenario</x:v>
      </x:c>
      <x:c r="H11" s="19" t="str">
        <x:v>Prioridad</x:v>
      </x:c>
      <x:c r="I11" s="15"/>
      <x:c r="J11" s="15"/>
      <x:c r="K11" s="15"/>
    </x:row>
    <x:row r="12" ht="58" customHeight="1">
      <x:c r="A12" s="14" t="str">
        <x:v>Febrero–mayo</x:v>
      </x:c>
      <x:c r="B12" s="14" t="str">
        <x:v>Mina San Marcos</x:v>
      </x:c>
      <x:c r="C12" s="14" t="str">
        <x:v>Socioambiental / agua</x:v>
      </x:c>
      <x:c r="D12" s="14" t="str">
        <x:v>Alta, fecha variable</x:v>
      </x:c>
      <x:c r="E12" s="14" t="str">
        <x:v>Alta</x:v>
      </x:c>
      <x:c r="F12" s="14" t="str">
        <x:v>ALTO</x:v>
      </x:c>
      <x:c r="G12" s="14" t="str">
        <x:v>Asamblea, plantón o bloqueo ante detonante</x:v>
      </x:c>
      <x:c r="H12" s="14" t="str">
        <x:v>1</x:v>
      </x:c>
      <x:c r="I12" s="15"/>
      <x:c r="J12" s="15"/>
      <x:c r="K12" s="15"/>
    </x:row>
    <x:row r="13" ht="58" customHeight="1">
      <x:c r="A13" s="14" t="str">
        <x:v>25 abril–6 mayo</x:v>
      </x:c>
      <x:c r="B13" s="14" t="str">
        <x:v>San Marcos–Cajacay–Aquia–Cátac–Paramonga</x:v>
      </x:c>
      <x:c r="C13" s="14" t="str">
        <x:v>Cívico / laboral</x:v>
      </x:c>
      <x:c r="D13" s="14" t="str">
        <x:v>Anual</x:v>
      </x:c>
      <x:c r="E13" s="14" t="str">
        <x:v>Alta</x:v>
      </x:c>
      <x:c r="F13" s="14" t="str">
        <x:v>ALTO</x:v>
      </x:c>
      <x:c r="G13" s="14" t="str">
        <x:v>Concentraciones masivas y posible marcha</x:v>
      </x:c>
      <x:c r="H13" s="14" t="str">
        <x:v>1</x:v>
      </x:c>
      <x:c r="I13" s="15"/>
      <x:c r="J13" s="15"/>
      <x:c r="K13" s="15"/>
    </x:row>
    <x:row r="14" ht="58" customHeight="1">
      <x:c r="A14" s="14" t="str">
        <x:v>15–18 julio</x:v>
      </x:c>
      <x:c r="B14" s="14" t="str">
        <x:v>Chavín de Huántar–Huallanca</x:v>
      </x:c>
      <x:c r="C14" s="14" t="str">
        <x:v>Patronal</x:v>
      </x:c>
      <x:c r="D14" s="14" t="str">
        <x:v>Anual</x:v>
      </x:c>
      <x:c r="E14" s="14" t="str">
        <x:v>Alta</x:v>
      </x:c>
      <x:c r="F14" s="14" t="str">
        <x:v>ALTO</x:v>
      </x:c>
      <x:c r="G14" s="14" t="str">
        <x:v>Cierre de calles e incidentes de orden</x:v>
      </x:c>
      <x:c r="H14" s="14" t="str">
        <x:v>1</x:v>
      </x:c>
      <x:c r="I14" s="15"/>
      <x:c r="J14" s="15"/>
      <x:c r="K14" s="15"/>
    </x:row>
    <x:row r="15" ht="58" customHeight="1">
      <x:c r="A15" s="14" t="str">
        <x:v>27 julio–1 agosto</x:v>
      </x:c>
      <x:c r="B15" s="14" t="str">
        <x:v>Todas las UGT</x:v>
      </x:c>
      <x:c r="C15" s="14" t="str">
        <x:v>Político / festivo</x:v>
      </x:c>
      <x:c r="D15" s="14" t="str">
        <x:v>Anual condicionada</x:v>
      </x:c>
      <x:c r="E15" s="14" t="str">
        <x:v>Media-alta</x:v>
      </x:c>
      <x:c r="F15" s="14" t="str">
        <x:v>ALTO</x:v>
      </x:c>
      <x:c r="G15" s="14" t="str">
        <x:v>Marchas, eventos masivos y afectación vial</x:v>
      </x:c>
      <x:c r="H15" s="14" t="str">
        <x:v>1</x:v>
      </x:c>
      <x:c r="I15" s="15"/>
      <x:c r="J15" s="15"/>
      <x:c r="K15" s="15"/>
    </x:row>
    <x:row r="16" ht="58" customHeight="1">
      <x:c r="A16" s="14" t="str">
        <x:v>8 agosto–4 septiembre</x:v>
      </x:c>
      <x:c r="B16" s="14" t="str">
        <x:v>Marca–Chiquián–Cátac</x:v>
      </x:c>
      <x:c r="C16" s="14" t="str">
        <x:v>Patronal</x:v>
      </x:c>
      <x:c r="D16" s="14" t="str">
        <x:v>Anual</x:v>
      </x:c>
      <x:c r="E16" s="14" t="str">
        <x:v>Alta</x:v>
      </x:c>
      <x:c r="F16" s="14" t="str">
        <x:v>ALTO</x:v>
      </x:c>
      <x:c r="G16" s="14" t="str">
        <x:v>Alta movilidad, ferias y eventos taurinos</x:v>
      </x:c>
      <x:c r="H16" s="14" t="str">
        <x:v>1</x:v>
      </x:c>
      <x:c r="I16" s="15"/>
      <x:c r="J16" s="15"/>
      <x:c r="K16" s="15"/>
    </x:row>
    <x:row r="17" ht="58" customHeight="1">
      <x:c r="A17" s="14" t="str">
        <x:v>Primera quincena octubre</x:v>
      </x:c>
      <x:c r="B17" s="14" t="str">
        <x:v>Huarmey</x:v>
      </x:c>
      <x:c r="C17" s="14" t="str">
        <x:v>Socioambiental / patronal</x:v>
      </x:c>
      <x:c r="D17" s="14" t="str">
        <x:v>Anual condicionada</x:v>
      </x:c>
      <x:c r="E17" s="14" t="str">
        <x:v>Media-alta</x:v>
      </x:c>
      <x:c r="F17" s="14" t="str">
        <x:v>MEDIO-ALTO</x:v>
      </x:c>
      <x:c r="G17" s="14" t="str">
        <x:v>Plantón o marcha por salud y ambiente</x:v>
      </x:c>
      <x:c r="H17" s="14" t="str">
        <x:v>2</x:v>
      </x:c>
      <x:c r="I17" s="15"/>
      <x:c r="J17" s="15"/>
      <x:c r="K17" s="15"/>
    </x:row>
    <x:row r="18" ht="58" customHeight="1">
      <x:c r="A18" s="14" t="str">
        <x:v>24 octubre–2 noviembre</x:v>
      </x:c>
      <x:c r="B18" s="14" t="str">
        <x:v>Aquia</x:v>
      </x:c>
      <x:c r="C18" s="14" t="str">
        <x:v>Histórica socioambiental</x:v>
      </x:c>
      <x:c r="D18" s="14" t="str">
        <x:v>No anual demostrada</x:v>
      </x:c>
      <x:c r="E18" s="14" t="str">
        <x:v>Media</x:v>
      </x:c>
      <x:c r="F18" s="14" t="str">
        <x:v>MEDIO</x:v>
      </x:c>
      <x:c r="G18" s="14" t="str">
        <x:v>Asamblea o bloqueo condicionado</x:v>
      </x:c>
      <x:c r="H18" s="14" t="str">
        <x:v>3</x:v>
      </x:c>
      <x:c r="I18" s="15"/>
      <x:c r="J18" s="15"/>
      <x:c r="K18" s="15"/>
    </x:row>
    <x:row r="19" ht="58" customHeight="1">
      <x:c r="A19" s="15" t="str">
        <x:v>Diciembre–marzo</x:v>
      </x:c>
      <x:c r="B19" s="15" t="str">
        <x:v>Corredores altoandinos</x:v>
      </x:c>
      <x:c r="C19" s="15" t="str">
        <x:v>Climático / vial</x:v>
      </x:c>
      <x:c r="D19" s="15" t="str">
        <x:v>Anual estacional</x:v>
      </x:c>
      <x:c r="E19" s="15" t="str">
        <x:v>Alta</x:v>
      </x:c>
      <x:c r="F19" s="15" t="str">
        <x:v>ALTO</x:v>
      </x:c>
      <x:c r="G19" s="15" t="str">
        <x:v>Interrupción vial y reclamo comunal</x:v>
      </x:c>
      <x:c r="H19" s="15" t="str">
        <x:v>1</x:v>
      </x:c>
      <x:c r="I19" s="15"/>
      <x:c r="J19" s="15"/>
      <x:c r="K19" s="15"/>
    </x:row>
    <x:row r="20" ht="58" customHeight="1">
      <x:c r="A20" s="15" t="str">
        <x:v>15 julio–14 octubre 2026</x:v>
      </x:c>
      <x:c r="B20" s="15" t="str">
        <x:v>Todos los distritos</x:v>
      </x:c>
      <x:c r="C20" s="15" t="str">
        <x:v>Político-electoral</x:v>
      </x:c>
      <x:c r="D20" s="15" t="str">
        <x:v>Cada cuatro años</x:v>
      </x:c>
      <x:c r="E20" s="15" t="str">
        <x:v>Media-alta</x:v>
      </x:c>
      <x:c r="F20" s="15" t="str">
        <x:v>ALTO</x:v>
      </x:c>
      <x:c r="G20" s="15" t="str">
        <x:v>Plantones, marchas y reclamos por resultados</x:v>
      </x:c>
      <x:c r="H20" s="15" t="str">
        <x:v>1</x:v>
      </x:c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mergeCells>
    <x:mergeCell ref="A1:H1"/>
    <x:mergeCell ref="D3:H3"/>
    <x:mergeCell ref="D4:H7"/>
    <x:mergeCell ref="A10:H10"/>
  </x:mergeCells>
  <x:pageMargins left="0.7" right="0.7" top="0.75" bottom="0.75" header="0.3" footer="0.3"/>
  <x:drawing xmlns:r="http://schemas.openxmlformats.org/officeDocument/2006/relationships" r:id="Rc7496991be1d49a5"/>
  <x:tableParts count="1">
    <x:tablePart xmlns:r="http://schemas.openxmlformats.org/officeDocument/2006/relationships" r:id="Reaf7f698fd59423d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2" width="24" customWidth="1"/>
    <x:col min="3" max="3" width="14" customWidth="1"/>
    <x:col min="4" max="4" width="38" customWidth="1"/>
    <x:col min="5" max="6" width="30" customWidth="1"/>
    <x:col min="7" max="8" width="38" customWidth="1"/>
    <x:col min="9" max="9" width="44" customWidth="1"/>
    <x:col min="10" max="10" width="48" customWidth="1"/>
  </x:cols>
  <x:sheetData>
    <x:row r="1" ht="20.25">
      <x:c r="A1" s="17" t="str">
        <x:v>ELECCIONES REGIONALES Y MUNICIPALES 2026 – VENTANAS OPERATIVAS UGT ANTAMINA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9" t="str">
        <x:v>Periodo operativo</x:v>
      </x:c>
      <x:c r="B3" s="19" t="str">
        <x:v>Fase</x:v>
      </x:c>
      <x:c r="C3" s="19" t="str">
        <x:v>Riesgo</x:v>
      </x:c>
      <x:c r="D3" s="19" t="str">
        <x:v>Detonantes</x:v>
      </x:c>
      <x:c r="E3" s="19" t="str">
        <x:v>Modalidad probable</x:v>
      </x:c>
      <x:c r="F3" s="19" t="str">
        <x:v>Zonas prioritarias</x:v>
      </x:c>
      <x:c r="G3" s="19" t="str">
        <x:v>Indicadores de alerta</x:v>
      </x:c>
      <x:c r="H3" s="19" t="str">
        <x:v>Acción recomendada</x:v>
      </x:c>
      <x:c r="I3" s="19" t="str">
        <x:v>Base de evidencia</x:v>
      </x:c>
      <x:c r="J3" s="19" t="str">
        <x:v>Fuente</x:v>
      </x:c>
      <x:c r="K3" s="15"/>
    </x:row>
    <x:row r="4" ht="72" customHeight="1">
      <x:c r="A4" s="14" t="str">
        <x:v>15 julio–5 agosto 2026</x:v>
      </x:c>
      <x:c r="B4" s="14" t="str">
        <x:v>Inscripción y admisión de listas</x:v>
      </x:c>
      <x:c r="C4" s="14" t="str">
        <x:v>Medio</x:v>
      </x:c>
      <x:c r="D4" s="14" t="str">
        <x:v>Observaciones a listas, candidaturas incompletas y conflictos internos</x:v>
      </x:c>
      <x:c r="E4" s="14" t="str">
        <x:v>Plantones o denuncias públicas</x:v>
      </x:c>
      <x:c r="F4" s="14" t="str">
        <x:v>San Marcos; Chiquián; Huallanca; Paramonga; Huarmey</x:v>
      </x:c>
      <x:c r="G4" s="14" t="str">
        <x:v>Pronunciamientos, convocatoria de simpatizantes y reclamos ante JEE</x:v>
      </x:c>
      <x:c r="H4" s="14" t="str">
        <x:v>Seguimiento diario de resoluciones, medios y redes políticas</x:v>
      </x:c>
      <x:c r="I4" s="14" t="str">
        <x:v>Ventana analítica según hitos del cronograma electoral</x:v>
      </x:c>
      <x:c r="J4" s="14" t="str">
        <x:v>https://www.gob.pe/institucion/jne/informes-publicaciones/8055863-cronograma-electoral-de-las-elecciones-regionales-y-municipales-2026</x:v>
      </x:c>
      <x:c r="K4" s="15"/>
    </x:row>
    <x:row r="5" ht="72" customHeight="1">
      <x:c r="A5" s="14" t="str">
        <x:v>6–20 agosto 2026</x:v>
      </x:c>
      <x:c r="B5" s="14" t="str">
        <x:v>Tachas y exclusiones iniciales</x:v>
      </x:c>
      <x:c r="C5" s="14" t="str">
        <x:v>Medio-alto</x:v>
      </x:c>
      <x:c r="D5" s="14" t="str">
        <x:v>Exclusión de candidato con respaldo local o denuncia de parcialidad</x:v>
      </x:c>
      <x:c r="E5" s="14" t="str">
        <x:v>Plantón ante JEE o marcha local</x:v>
      </x:c>
      <x:c r="F5" s="14" t="str">
        <x:v>Chiquián; Huarmey; San Marcos; Paramonga; Cátac</x:v>
      </x:c>
      <x:c r="G5" s="14" t="str">
        <x:v>Apelaciones masivas, llamados a desconocer decisiones y traslado de simpatizantes</x:v>
      </x:c>
      <x:c r="H5" s="14" t="str">
        <x:v>Mapear sedes JEE, líderes, rutas y puntos de concentración</x:v>
      </x:c>
      <x:c r="I5" s="14" t="str">
        <x:v>Las exclusiones y cuestionamientos fueron causas recurrentes en ERM 2022</x:v>
      </x:c>
      <x:c r="J5" s="14" t="str">
        <x:v>https://www.defensoria.gob.pe/wp-content/uploads/2023/03/Informe-Defensorial-n.%C2%B0-189.pdf</x:v>
      </x:c>
      <x:c r="K5" s="15"/>
    </x:row>
    <x:row r="6" ht="72" customHeight="1">
      <x:c r="A6" s="14" t="str">
        <x:v>21 agosto–5 septiembre 2026</x:v>
      </x:c>
      <x:c r="B6" s="14" t="str">
        <x:v>Apelaciones y candidaturas definitivas</x:v>
      </x:c>
      <x:c r="C6" s="14" t="str">
        <x:v>Alto</x:v>
      </x:c>
      <x:c r="D6" s="14" t="str">
        <x:v>Exclusión definitiva, ruptura interna, lista sustituida o anulada</x:v>
      </x:c>
      <x:c r="E6" s="14" t="str">
        <x:v>Marcha, plantón o bloqueo breve</x:v>
      </x:c>
      <x:c r="F6" s="14" t="str">
        <x:v>Capitales provinciales y distritos con competencia estrecha</x:v>
      </x:c>
      <x:c r="G6" s="14" t="str">
        <x:v>Convocatorias provinciales, traslado de bases y discurso de fraude</x:v>
      </x:c>
      <x:c r="H6" s="14" t="str">
        <x:v>Elevar alerta y monitorear sedes electorales y carreteras de llegada</x:v>
      </x:c>
      <x:c r="I6" s="14" t="str">
        <x:v>Los conflictos preelectorales se intensifican tras decisiones definitivas</x:v>
      </x:c>
      <x:c r="J6" s="14" t="str">
        <x:v>https://www.defensoria.gob.pe/wp-content/uploads/2023/03/Informe-Defensorial-n.%C2%B0-189.pdf</x:v>
      </x:c>
      <x:c r="K6" s="15"/>
    </x:row>
    <x:row r="7" ht="72" customHeight="1">
      <x:c r="A7" s="14" t="str">
        <x:v>22 septiembre–3 octubre 2026</x:v>
      </x:c>
      <x:c r="B7" s="14" t="str">
        <x:v>Cierre de campaña</x:v>
      </x:c>
      <x:c r="C7" s="14" t="str">
        <x:v>Alto</x:v>
      </x:c>
      <x:c r="D7" s="14" t="str">
        <x:v>Polarización, destrucción de propaganda, agresiones y votos golondrinos</x:v>
      </x:c>
      <x:c r="E7" s="14" t="str">
        <x:v>Concentraciones y enfrentamientos entre simpatizantes</x:v>
      </x:c>
      <x:c r="F7" s="14" t="str">
        <x:v>San Marcos; Huallanca; Chiquián; Paramonga; Huarmey</x:v>
      </x:c>
      <x:c r="G7" s="14" t="str">
        <x:v>Mítines simultáneos, caravanas, rondas y denuncias en redes</x:v>
      </x:c>
      <x:c r="H7" s="14" t="str">
        <x:v>Separar rutas, horarios y puntos de concentración de actividades rivales</x:v>
      </x:c>
      <x:c r="I7" s="14" t="str">
        <x:v>La Defensoría reporta incidencias alrededor de cierres de campaña</x:v>
      </x:c>
      <x:c r="J7" s="14" t="str">
        <x:v>https://www.defensoria.gob.pe/wp-content/uploads/2023/03/Informe-Defensorial-n.%C2%B0-189.pdf</x:v>
      </x:c>
      <x:c r="K7" s="15"/>
    </x:row>
    <x:row r="8" ht="72" customHeight="1">
      <x:c r="A8" s="14" t="str">
        <x:v>4 octubre 2026</x:v>
      </x:c>
      <x:c r="B8" s="14" t="str">
        <x:v>Jornada electoral</x:v>
      </x:c>
      <x:c r="C8" s="14" t="str">
        <x:v>Alto</x:v>
      </x:c>
      <x:c r="D8" s="14" t="str">
        <x:v>Retraso de material, acceso impedido, propaganda prohibida o falla logística</x:v>
      </x:c>
      <x:c r="E8" s="14" t="str">
        <x:v>Plantón, restricción, ingreso violento o toma de local</x:v>
      </x:c>
      <x:c r="F8" s="14" t="str">
        <x:v>Los 18 distritos; prioridad en capitales y zonas de difícil acceso</x:v>
      </x:c>
      <x:c r="G8" s="14" t="str">
        <x:v>Corte de energía, falta de material, concentración de personeros y simpatizantes</x:v>
      </x:c>
      <x:c r="H8" s="14" t="str">
        <x:v>Puesto de monitoreo desde apertura hasta cierre de locales</x:v>
      </x:c>
      <x:c r="I8" s="14" t="str">
        <x:v>La ONPE programó las ERM para el 4 de octubre de 2026</x:v>
      </x:c>
      <x:c r="J8" s="14" t="str">
        <x:v>https://www.gob.pe/institucion/onpe/campa%C3%B1as/143000-elecciones-regionales-y-municipales-2026</x:v>
      </x:c>
      <x:c r="K8" s="15"/>
    </x:row>
    <x:row r="9" ht="72" customHeight="1">
      <x:c r="A9" s="14" t="str">
        <x:v>5–14 octubre 2026</x:v>
      </x:c>
      <x:c r="B9" s="14" t="str">
        <x:v>Escrutinio y posresultados</x:v>
      </x:c>
      <x:c r="C9" s="14" t="str">
        <x:v>Muy alto</x:v>
      </x:c>
      <x:c r="D9" s="14" t="str">
        <x:v>Resultados estrechos, actas observadas, fraude, nulidad o reconteo</x:v>
      </x:c>
      <x:c r="E9" s="14" t="str">
        <x:v>Marcha, plantón ante ODPE/JEE o bloqueo temporal</x:v>
      </x:c>
      <x:c r="F9" s="14" t="str">
        <x:v>Chiquián; Huarmey; San Marcos; Paramonga; Huallanca</x:v>
      </x:c>
      <x:c r="G9" s="14" t="str">
        <x:v>Convocatorias nocturnas, vigilancia de sedes y pedidos de nulidad</x:v>
      </x:c>
      <x:c r="H9" s="14" t="str">
        <x:v>Máxima alerta y seguimiento continuo de actas y convocatorias</x:v>
      </x:c>
      <x:c r="I9" s="14" t="str">
        <x:v>El escrutinio concentró la mayor proporción de incidencias en ERM 2022</x:v>
      </x:c>
      <x:c r="J9" s="14" t="str">
        <x:v>https://www.defensoria.gob.pe/wp-content/uploads/2023/03/Informe-Defensorial-n.%C2%B0-189.pdf</x:v>
      </x:c>
      <x:c r="K9" s="15"/>
    </x:row>
    <x:row r="10" ht="72" customHeight="1">
      <x:c r="A10" s="14" t="str">
        <x:v>Segunda elección regional, si corresponde</x:v>
      </x:c>
      <x:c r="B10" s="14" t="str">
        <x:v>Nueva campaña y jornada</x:v>
      </x:c>
      <x:c r="C10" s="14" t="str">
        <x:v>Medio-alto</x:v>
      </x:c>
      <x:c r="D10" s="14" t="str">
        <x:v>Polarización entre finalistas, cuestionamiento de alianzas o fraude</x:v>
      </x:c>
      <x:c r="E10" s="14" t="str">
        <x:v>Marchas y concentraciones de campaña</x:v>
      </x:c>
      <x:c r="F10" s="14" t="str">
        <x:v>Región Áncash; influencia en las cuatro UGT</x:v>
      </x:c>
      <x:c r="G10" s="14" t="str">
        <x:v>Reagrupamiento de bases, ataques políticos y denuncias</x:v>
      </x:c>
      <x:c r="H10" s="14" t="str">
        <x:v>Reactivar protocolo electoral completo y monitorear traslado de delegaciones</x:v>
      </x:c>
      <x:c r="I10" s="14" t="str">
        <x:v>El riesgo depende de detonantes y margen entre finalistas</x:v>
      </x:c>
      <x:c r="J10" s="14" t="str">
        <x:v>https://www.defensoria.gob.pe/wp-content/uploads/2023/03/Informe-Defensorial-n.%C2%B0-189.pdf</x:v>
      </x:c>
      <x:c r="K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b8e9628978941c8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16" customWidth="1"/>
    <x:col min="2" max="2" width="18" customWidth="1"/>
    <x:col min="3" max="3" width="22" customWidth="1"/>
    <x:col min="4" max="4" width="20" customWidth="1"/>
    <x:col min="5" max="5" width="30" customWidth="1"/>
    <x:col min="6" max="6" width="40" customWidth="1"/>
    <x:col min="7" max="7" width="38" customWidth="1"/>
    <x:col min="8" max="8" width="40" customWidth="1"/>
  </x:cols>
  <x:sheetData>
    <x:row r="1" ht="20.25">
      <x:c r="A1" s="17" t="str">
        <x:v>EVALUACIÓN TERRITORIAL DE RIESGO – UGT ANTAMINA</x:v>
      </x:c>
      <x:c r="B1" s="17"/>
      <x:c r="C1" s="17"/>
      <x:c r="D1" s="17"/>
      <x:c r="E1" s="17"/>
      <x:c r="F1" s="17"/>
      <x:c r="G1" s="17"/>
      <x:c r="H1" s="17"/>
      <x:c r="I1" s="15"/>
      <x:c r="J1" s="15"/>
      <x:c r="K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9" t="str">
        <x:v>UGT / provincia</x:v>
      </x:c>
      <x:c r="B3" s="19" t="str">
        <x:v>Distrito</x:v>
      </x:c>
      <x:c r="C3" s="19" t="str">
        <x:v>Riesgo social recurrente</x:v>
      </x:c>
      <x:c r="D3" s="19" t="str">
        <x:v>Riesgo electoral 2026</x:v>
      </x:c>
      <x:c r="E3" s="19" t="str">
        <x:v>Ventanas prioritarias</x:v>
      </x:c>
      <x:c r="F3" s="19" t="str">
        <x:v>Detonantes locales</x:v>
      </x:c>
      <x:c r="G3" s="19" t="str">
        <x:v>Escenario probable</x:v>
      </x:c>
      <x:c r="H3" s="19" t="str">
        <x:v>Recomendación</x:v>
      </x:c>
      <x:c r="I3" s="15"/>
      <x:c r="J3" s="15"/>
      <x:c r="K3" s="15"/>
    </x:row>
    <x:row r="4" ht="64" customHeight="1">
      <x:c r="A4" s="14" t="str">
        <x:v>Mina San Marcos / Huari</x:v>
      </x:c>
      <x:c r="B4" s="14" t="str">
        <x:v>San Marcos</x:v>
      </x:c>
      <x:c r="C4" s="14" t="str">
        <x:v>Alto</x:v>
      </x:c>
      <x:c r="D4" s="14" t="str">
        <x:v>Alto</x:v>
      </x:c>
      <x:c r="E4" s="14" t="str">
        <x:v>Febrero–mayo; 25 abril–6 mayo; ciclo electoral</x:v>
      </x:c>
      <x:c r="F4" s="14" t="str">
        <x:v>Agua, metales, empleo local, contratistas y compromisos</x:v>
      </x:c>
      <x:c r="G4" s="14" t="str">
        <x:v>Plantón, marcha o bloqueo de accesos</x:v>
      </x:c>
      <x:c r="H4" s="14" t="str">
        <x:v>Monitoreo permanente de asambleas, empleo y resultados ambientales</x:v>
      </x:c>
      <x:c r="I4" s="15"/>
      <x:c r="J4" s="15"/>
      <x:c r="K4" s="15"/>
    </x:row>
    <x:row r="5" ht="64" customHeight="1">
      <x:c r="A5" s="14" t="str">
        <x:v>Mina San Marcos / Huari</x:v>
      </x:c>
      <x:c r="B5" s="14" t="str">
        <x:v>Chavín de Huántar</x:v>
      </x:c>
      <x:c r="C5" s="14" t="str">
        <x:v>Medio-alto</x:v>
      </x:c>
      <x:c r="D5" s="14" t="str">
        <x:v>Medio</x:v>
      </x:c>
      <x:c r="E5" s="14" t="str">
        <x:v>15–18 julio; 17 octubre; ciclo electoral</x:v>
      </x:c>
      <x:c r="F5" s="14" t="str">
        <x:v>Festividades, obras, turismo, agua y reclamos municipales</x:v>
      </x:c>
      <x:c r="G5" s="14" t="str">
        <x:v>Concentración masiva, plantón o cierre de calles</x:v>
      </x:c>
      <x:c r="H5" s="14" t="str">
        <x:v>Reforzar cobertura en Virgen del Carmen y aniversario</x:v>
      </x:c>
      <x:c r="I5" s="15"/>
      <x:c r="J5" s="15"/>
      <x:c r="K5" s="15"/>
    </x:row>
    <x:row r="6" ht="64" customHeight="1">
      <x:c r="A6" s="14" t="str">
        <x:v>Mina San Marcos / Huari</x:v>
      </x:c>
      <x:c r="B6" s="14" t="str">
        <x:v>Huachis</x:v>
      </x:c>
      <x:c r="C6" s="14" t="str">
        <x:v>Medio</x:v>
      </x:c>
      <x:c r="D6" s="14" t="str">
        <x:v>Bajo-medio</x:v>
      </x:c>
      <x:c r="E6" s="14" t="str">
        <x:v>Febrero–mayo; 24 junio; ciclo electoral</x:v>
      </x:c>
      <x:c r="F6" s="14" t="str">
        <x:v>Agua, vías, compromisos comunales y servicios</x:v>
      </x:c>
      <x:c r="G6" s="14" t="str">
        <x:v>Asamblea, pronunciamiento o bloqueo localizado</x:v>
      </x:c>
      <x:c r="H6" s="14" t="str">
        <x:v>Seguimiento comunal y de rutas hacia San Marcos</x:v>
      </x:c>
      <x:c r="I6" s="15"/>
      <x:c r="J6" s="15"/>
      <x:c r="K6" s="15"/>
    </x:row>
    <x:row r="7" ht="64" customHeight="1">
      <x:c r="A7" s="14" t="str">
        <x:v>Mina San Marcos / Huari</x:v>
      </x:c>
      <x:c r="B7" s="14" t="str">
        <x:v>San Pedro de Chaná</x:v>
      </x:c>
      <x:c r="C7" s="14" t="str">
        <x:v>Medio</x:v>
      </x:c>
      <x:c r="D7" s="14" t="str">
        <x:v>Bajo-medio</x:v>
      </x:c>
      <x:c r="E7" s="14" t="str">
        <x:v>23–29 junio; febrero–mayo</x:v>
      </x:c>
      <x:c r="F7" s="14" t="str">
        <x:v>Agua, agricultura, vías y convenios</x:v>
      </x:c>
      <x:c r="G7" s="14" t="str">
        <x:v>Asamblea o traslado de delegación</x:v>
      </x:c>
      <x:c r="H7" s="14" t="str">
        <x:v>Monitorear fiestas patronales y acuerdos agrarios</x:v>
      </x:c>
      <x:c r="I7" s="15"/>
      <x:c r="J7" s="15"/>
      <x:c r="K7" s="15"/>
    </x:row>
    <x:row r="8" ht="64" customHeight="1">
      <x:c r="A8" s="14" t="str">
        <x:v>Huallanca / Bolognesi</x:v>
      </x:c>
      <x:c r="B8" s="14" t="str">
        <x:v>Huallanca</x:v>
      </x:c>
      <x:c r="C8" s="14" t="str">
        <x:v>Alto</x:v>
      </x:c>
      <x:c r="D8" s="14" t="str">
        <x:v>Medio-alto</x:v>
      </x:c>
      <x:c r="E8" s="14" t="str">
        <x:v>15 julio–1 agosto; 21 noviembre; lluvias</x:v>
      </x:c>
      <x:c r="F8" s="14" t="str">
        <x:v>Empleo, minería, tránsito, festividades y compromisos</x:v>
      </x:c>
      <x:c r="G8" s="14" t="str">
        <x:v>Plantón, bloqueo o incidente en evento masivo</x:v>
      </x:c>
      <x:c r="H8" s="14" t="str">
        <x:v>Cobertura reforzada en julio-agosto y aniversario</x:v>
      </x:c>
      <x:c r="I8" s="15"/>
      <x:c r="J8" s="15"/>
      <x:c r="K8" s="15"/>
    </x:row>
    <x:row r="9" ht="64" customHeight="1">
      <x:c r="A9" s="14" t="str">
        <x:v>Huallanca / Bolognesi</x:v>
      </x:c>
      <x:c r="B9" s="14" t="str">
        <x:v>Aquia</x:v>
      </x:c>
      <x:c r="C9" s="14" t="str">
        <x:v>Alto</x:v>
      </x:c>
      <x:c r="D9" s="14" t="str">
        <x:v>Medio</x:v>
      </x:c>
      <x:c r="E9" s="14" t="str">
        <x:v>25 abril–6 mayo; 22 septiembre–3 octubre; 24 octubre–2 noviembre</x:v>
      </x:c>
      <x:c r="F9" s="14" t="str">
        <x:v>Tierras, compensaciones, empleo, minería y dirigencia comunal</x:v>
      </x:c>
      <x:c r="G9" s="14" t="str">
        <x:v>Asamblea, bloqueo de ruta o plantón</x:v>
      </x:c>
      <x:c r="H9" s="14" t="str">
        <x:v>Revisar acuerdos antes de octubre y monitorear cambios dirigenciales</x:v>
      </x:c>
      <x:c r="I9" s="15"/>
      <x:c r="J9" s="15"/>
      <x:c r="K9" s="15"/>
    </x:row>
    <x:row r="10" ht="64" customHeight="1">
      <x:c r="A10" s="14" t="str">
        <x:v>Huallanca / Bolognesi</x:v>
      </x:c>
      <x:c r="B10" s="14" t="str">
        <x:v>Chiquián</x:v>
      </x:c>
      <x:c r="C10" s="14" t="str">
        <x:v>Medio-alto</x:v>
      </x:c>
      <x:c r="D10" s="14" t="str">
        <x:v>Alto</x:v>
      </x:c>
      <x:c r="E10" s="14" t="str">
        <x:v>8 agosto–4 septiembre; ciclo electoral</x:v>
      </x:c>
      <x:c r="F10" s="14" t="str">
        <x:v>Capital provincial, festividades, obras y competencia política</x:v>
      </x:c>
      <x:c r="G10" s="14" t="str">
        <x:v>Marchas, cierres o concentración ante instituciones</x:v>
      </x:c>
      <x:c r="H10" s="14" t="str">
        <x:v>Monitoreo político y operativo desde agosto hasta posresultados</x:v>
      </x:c>
      <x:c r="I10" s="15"/>
      <x:c r="J10" s="15"/>
      <x:c r="K10" s="15"/>
    </x:row>
    <x:row r="11" ht="64" customHeight="1">
      <x:c r="A11" s="14" t="str">
        <x:v>Valle Fortaleza / Bolognesi</x:v>
      </x:c>
      <x:c r="B11" s="14" t="str">
        <x:v>Cajacay</x:v>
      </x:c>
      <x:c r="C11" s="14" t="str">
        <x:v>Alto</x:v>
      </x:c>
      <x:c r="D11" s="14" t="str">
        <x:v>Medio</x:v>
      </x:c>
      <x:c r="E11" s="14" t="str">
        <x:v>25 abril–6 mayo; todo el año ante incidentes</x:v>
      </x:c>
      <x:c r="F11" s="14" t="str">
        <x:v>Mineroducto, agricultura, salud, vías y compensaciones</x:v>
      </x:c>
      <x:c r="G11" s="14" t="str">
        <x:v>Bloqueo preventivo o exigencia de inspección</x:v>
      </x:c>
      <x:c r="H11" s="14" t="str">
        <x:v>Mantener protocolo inmediato de información y respuesta</x:v>
      </x:c>
      <x:c r="I11" s="15"/>
      <x:c r="J11" s="15"/>
      <x:c r="K11" s="15"/>
    </x:row>
    <x:row r="12" ht="64" customHeight="1">
      <x:c r="A12" s="15" t="str">
        <x:v>Valle Fortaleza / Bolognesi</x:v>
      </x:c>
      <x:c r="B12" s="15" t="str">
        <x:v>Antonio Raimondi</x:v>
      </x:c>
      <x:c r="C12" s="15" t="str">
        <x:v>Medio</x:v>
      </x:c>
      <x:c r="D12" s="15" t="str">
        <x:v>Bajo-medio</x:v>
      </x:c>
      <x:c r="E12" s="15" t="str">
        <x:v>24 abril; junio; ciclo electoral</x:v>
      </x:c>
      <x:c r="F12" s="15" t="str">
        <x:v>Obras, servicios, agua y rivalidad municipal</x:v>
      </x:c>
      <x:c r="G12" s="15" t="str">
        <x:v>Plantón frente al municipio o cierre de calles</x:v>
      </x:c>
      <x:c r="H12" s="15" t="str">
        <x:v>Seguimiento a aniversario y compromisos municipales</x:v>
      </x:c>
      <x:c r="I12" s="15"/>
      <x:c r="J12" s="15"/>
      <x:c r="K12" s="15"/>
    </x:row>
    <x:row r="13" ht="64" customHeight="1">
      <x:c r="A13" s="15" t="str">
        <x:v>Valle Fortaleza / Bolognesi</x:v>
      </x:c>
      <x:c r="B13" s="15" t="str">
        <x:v>Colquioc</x:v>
      </x:c>
      <x:c r="C13" s="15" t="str">
        <x:v>Medio</x:v>
      </x:c>
      <x:c r="D13" s="15" t="str">
        <x:v>Medio</x:v>
      </x:c>
      <x:c r="E13" s="15" t="str">
        <x:v>29 enero; lluvias; ciclo electoral</x:v>
      </x:c>
      <x:c r="F13" s="15" t="str">
        <x:v>Carretera, seguridad vial, mineroducto y obras</x:v>
      </x:c>
      <x:c r="G13" s="15" t="str">
        <x:v>Bloqueo localizado o reclamo por mantenimiento</x:v>
      </x:c>
      <x:c r="H13" s="15" t="str">
        <x:v>Monitorear corredor y coordinación con Provías</x:v>
      </x:c>
      <x:c r="I13" s="15"/>
      <x:c r="J13" s="15"/>
      <x:c r="K13" s="15"/>
    </x:row>
    <x:row r="14" ht="64" customHeight="1">
      <x:c r="A14" s="15" t="str">
        <x:v>Valle Fortaleza / Bolognesi</x:v>
      </x:c>
      <x:c r="B14" s="15" t="str">
        <x:v>Huayllacayán</x:v>
      </x:c>
      <x:c r="C14" s="15" t="str">
        <x:v>Medio</x:v>
      </x:c>
      <x:c r="D14" s="15" t="str">
        <x:v>Bajo-medio</x:v>
      </x:c>
      <x:c r="E14" s="15" t="str">
        <x:v>2 enero; junio; lluvias</x:v>
      </x:c>
      <x:c r="F14" s="15" t="str">
        <x:v>Vías, servicios y proyectos comunales</x:v>
      </x:c>
      <x:c r="G14" s="15" t="str">
        <x:v>Asamblea y reclamo localizado</x:v>
      </x:c>
      <x:c r="H14" s="15" t="str">
        <x:v>Vigilancia territorial en temporada de lluvias</x:v>
      </x:c>
      <x:c r="I14" s="15"/>
      <x:c r="J14" s="15"/>
      <x:c r="K14" s="15"/>
    </x:row>
    <x:row r="15" ht="64" customHeight="1">
      <x:c r="A15" s="15" t="str">
        <x:v>Valle Fortaleza / Recuay</x:v>
      </x:c>
      <x:c r="B15" s="15" t="str">
        <x:v>Cátac</x:v>
      </x:c>
      <x:c r="C15" s="15" t="str">
        <x:v>Alto</x:v>
      </x:c>
      <x:c r="D15" s="15" t="str">
        <x:v>Medio-alto</x:v>
      </x:c>
      <x:c r="E15" s="15" t="str">
        <x:v>25 abril–6 mayo; 30 agosto; lluvias</x:v>
      </x:c>
      <x:c r="F15" s="15" t="str">
        <x:v>Vías, minería, empleo, agua y festividades</x:v>
      </x:c>
      <x:c r="G15" s="15" t="str">
        <x:v>Bloqueo de carretera o concentración comunal</x:v>
      </x:c>
      <x:c r="H15" s="15" t="str">
        <x:v>Monitoreo permanente de rondas, comunidades y corredor vial</x:v>
      </x:c>
      <x:c r="I15" s="15"/>
      <x:c r="J15" s="15"/>
      <x:c r="K15" s="15"/>
    </x:row>
    <x:row r="16" ht="64" customHeight="1">
      <x:c r="A16" s="15" t="str">
        <x:v>Valle Fortaleza / Recuay</x:v>
      </x:c>
      <x:c r="B16" s="15" t="str">
        <x:v>Pampas Chico</x:v>
      </x:c>
      <x:c r="C16" s="15" t="str">
        <x:v>Medio</x:v>
      </x:c>
      <x:c r="D16" s="15" t="str">
        <x:v>Bajo-medio</x:v>
      </x:c>
      <x:c r="E16" s="15" t="str">
        <x:v>31 octubre; lluvias</x:v>
      </x:c>
      <x:c r="F16" s="15" t="str">
        <x:v>Vías, servicios, obras y autoridades</x:v>
      </x:c>
      <x:c r="G16" s="15" t="str">
        <x:v>Plantón municipal o cierre breve</x:v>
      </x:c>
      <x:c r="H16" s="15" t="str">
        <x:v>Revisar demandas antes del aniversario</x:v>
      </x:c>
      <x:c r="I16" s="15"/>
      <x:c r="J16" s="15"/>
      <x:c r="K16" s="15"/>
    </x:row>
    <x:row r="17" ht="64" customHeight="1">
      <x:c r="A17" s="15" t="str">
        <x:v>Valle Fortaleza / Recuay</x:v>
      </x:c>
      <x:c r="B17" s="15" t="str">
        <x:v>Marca</x:v>
      </x:c>
      <x:c r="C17" s="15" t="str">
        <x:v>Medio</x:v>
      </x:c>
      <x:c r="D17" s="15" t="str">
        <x:v>Bajo-medio</x:v>
      </x:c>
      <x:c r="E17" s="15" t="str">
        <x:v>8–13 agosto; lluvias</x:v>
      </x:c>
      <x:c r="F17" s="15" t="str">
        <x:v>Festividad de San Lorenzo, vías y servicios</x:v>
      </x:c>
      <x:c r="G17" s="15" t="str">
        <x:v>Concentración masiva o incidente de orden</x:v>
      </x:c>
      <x:c r="H17" s="15" t="str">
        <x:v>Cobertura preventiva durante fiesta patronal</x:v>
      </x:c>
      <x:c r="I17" s="15"/>
      <x:c r="J17" s="15"/>
      <x:c r="K17" s="15"/>
    </x:row>
    <x:row r="18" ht="64" customHeight="1">
      <x:c r="A18" s="15" t="str">
        <x:v>Valle Fortaleza / Recuay</x:v>
      </x:c>
      <x:c r="B18" s="15" t="str">
        <x:v>Llacllín</x:v>
      </x:c>
      <x:c r="C18" s="15" t="str">
        <x:v>Medio</x:v>
      </x:c>
      <x:c r="D18" s="15" t="str">
        <x:v>Bajo-medio</x:v>
      </x:c>
      <x:c r="E18" s="15" t="str">
        <x:v>8 noviembre; lluvias</x:v>
      </x:c>
      <x:c r="F18" s="15" t="str">
        <x:v>Obras, servicios y competencia local</x:v>
      </x:c>
      <x:c r="G18" s="15" t="str">
        <x:v>Plantón o interrupción de ceremonia</x:v>
      </x:c>
      <x:c r="H18" s="15" t="str">
        <x:v>Monitorear agenda municipal y actores locales</x:v>
      </x:c>
      <x:c r="I18" s="15"/>
      <x:c r="J18" s="15"/>
      <x:c r="K18" s="15"/>
    </x:row>
    <x:row r="19" ht="64" customHeight="1">
      <x:c r="A19" s="15" t="str">
        <x:v>Valle Fortaleza / Recuay</x:v>
      </x:c>
      <x:c r="B19" s="15" t="str">
        <x:v>Pararín</x:v>
      </x:c>
      <x:c r="C19" s="15" t="str">
        <x:v>Medio</x:v>
      </x:c>
      <x:c r="D19" s="15" t="str">
        <x:v>Bajo-medio</x:v>
      </x:c>
      <x:c r="E19" s="15" t="str">
        <x:v>23–29 junio; 25 julio</x:v>
      </x:c>
      <x:c r="F19" s="15" t="str">
        <x:v>Agricultura, agua, vías y festividades</x:v>
      </x:c>
      <x:c r="G19" s="15" t="str">
        <x:v>Asamblea, marcha local o cierre de calles</x:v>
      </x:c>
      <x:c r="H19" s="15" t="str">
        <x:v>Seguimiento agrario desde junio</x:v>
      </x:c>
      <x:c r="I19" s="15"/>
      <x:c r="J19" s="15"/>
      <x:c r="K19" s="15"/>
    </x:row>
    <x:row r="20" ht="64" customHeight="1">
      <x:c r="A20" s="15" t="str">
        <x:v>Valle Fortaleza / Barranca-Lima</x:v>
      </x:c>
      <x:c r="B20" s="15" t="str">
        <x:v>Paramonga</x:v>
      </x:c>
      <x:c r="C20" s="15" t="str">
        <x:v>Alto</x:v>
      </x:c>
      <x:c r="D20" s="15" t="str">
        <x:v>Alto</x:v>
      </x:c>
      <x:c r="E20" s="15" t="str">
        <x:v>25 abril–6 mayo; 22–25 septiembre; 23 noviembre; ciclo electoral</x:v>
      </x:c>
      <x:c r="F20" s="15" t="str">
        <x:v>Empleo industrial, servicios, carretera y conflictividad política</x:v>
      </x:c>
      <x:c r="G20" s="15" t="str">
        <x:v>Marcha laboral, cierre urbano o bloqueo vial</x:v>
      </x:c>
      <x:c r="H20" s="15" t="str">
        <x:v>Monitoreo laboral y electoral permanente</x:v>
      </x:c>
      <x:c r="I20" s="15"/>
      <x:c r="J20" s="15"/>
      <x:c r="K20" s="15"/>
    </x:row>
    <x:row r="21" ht="64" customHeight="1">
      <x:c r="A21" s="15" t="str">
        <x:v>Huarmey / Huarmey</x:v>
      </x:c>
      <x:c r="B21" s="15" t="str">
        <x:v>Huarmey</x:v>
      </x:c>
      <x:c r="C21" s="15" t="str">
        <x:v>Alto</x:v>
      </x:c>
      <x:c r="D21" s="15" t="str">
        <x:v>Alto</x:v>
      </x:c>
      <x:c r="E21" s="15" t="str">
        <x:v>Todo el año; primera quincena de octubre; 20 diciembre; ciclo electoral</x:v>
      </x:c>
      <x:c r="F21" s="15" t="str">
        <x:v>Metales pesados, salud, puerto, agua, pesca y política local</x:v>
      </x:c>
      <x:c r="G21" s="15" t="str">
        <x:v>Marcha provincial, plantón o afectación de accesos</x:v>
      </x:c>
      <x:c r="H21" s="15" t="str">
        <x:v>Monitoreo continuo de salud, ambiente, dirigentes y sedes electorales</x:v>
      </x:c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2c06259d9684e3d"/>
  </x:tableParts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6" customWidth="1"/>
    <x:col min="2" max="2" width="36" customWidth="1"/>
    <x:col min="3" max="3" width="22" customWidth="1"/>
    <x:col min="4" max="4" width="42" customWidth="1"/>
    <x:col min="5" max="5" width="38" customWidth="1"/>
    <x:col min="6" max="6" width="16" customWidth="1"/>
    <x:col min="7" max="7" width="44" customWidth="1"/>
  </x:cols>
  <x:sheetData>
    <x:row r="1" ht="20.25">
      <x:c r="A1" s="17" t="str">
        <x:v>MATRIZ DE DETONANTES E INDICADORES DE ALERTA – UGT ANTAMINA</x:v>
      </x:c>
      <x:c r="B1" s="17"/>
      <x:c r="C1" s="17"/>
      <x:c r="D1" s="17"/>
      <x:c r="E1" s="17"/>
      <x:c r="F1" s="17"/>
      <x:c r="G1" s="17"/>
      <x:c r="H1" s="15"/>
      <x:c r="I1" s="15"/>
      <x:c r="J1" s="15"/>
      <x:c r="K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9" t="str">
        <x:v>N°</x:v>
      </x:c>
      <x:c r="B3" s="19" t="str">
        <x:v>Detonante</x:v>
      </x:c>
      <x:c r="C3" s="19" t="str">
        <x:v>Tipo</x:v>
      </x:c>
      <x:c r="D3" s="19" t="str">
        <x:v>Indicador temprano</x:v>
      </x:c>
      <x:c r="E3" s="19" t="str">
        <x:v>Posible impacto</x:v>
      </x:c>
      <x:c r="F3" s="19" t="str">
        <x:v>Nivel inicial</x:v>
      </x:c>
      <x:c r="G3" s="19" t="str">
        <x:v>Respuesta recomendada</x:v>
      </x:c>
      <x:c r="H3" s="15"/>
      <x:c r="I3" s="15"/>
      <x:c r="J3" s="15"/>
      <x:c r="K3" s="15"/>
    </x:row>
    <x:row r="4" ht="56" customHeight="1">
      <x:c r="A4" s="14" t="n">
        <x:v>1</x:v>
      </x:c>
      <x:c r="B4" s="14" t="str">
        <x:v>Nuevos resultados de arsénico, plomo u otros metales en Huarmey</x:v>
      </x:c>
      <x:c r="C4" s="14" t="str">
        <x:v>Socioambiental / salud</x:v>
      </x:c>
      <x:c r="D4" s="14" t="str">
        <x:v>Convocatoria de afectados, pronunciamiento médico, filtración de informe</x:v>
      </x:c>
      <x:c r="E4" s="14" t="str">
        <x:v>Marcha provincial, plantón o cierre de accesos</x:v>
      </x:c>
      <x:c r="F4" s="14" t="str">
        <x:v>Muy alto</x:v>
      </x:c>
      <x:c r="G4" s="14" t="str">
        <x:v>Verificar resultados, activar coordinación sanitaria y monitoreo de dirigentes</x:v>
      </x:c>
      <x:c r="H4" s="15"/>
      <x:c r="I4" s="15"/>
      <x:c r="J4" s="15"/>
      <x:c r="K4" s="15"/>
    </x:row>
    <x:row r="5" ht="56" customHeight="1">
      <x:c r="A5" s="14" t="n">
        <x:v>2</x:v>
      </x:c>
      <x:c r="B5" s="14" t="str">
        <x:v>Reducción de caudales o resultados ambientales en San Marcos</x:v>
      </x:c>
      <x:c r="C5" s="14" t="str">
        <x:v>Socioambiental</x:v>
      </x:c>
      <x:c r="D5" s="14" t="str">
        <x:v>Asamblea comunal, denuncia de agua, muerte de animales o pedido de publicación</x:v>
      </x:c>
      <x:c r="E5" s="14" t="str">
        <x:v>Plantón, bloqueo de acceso o movilización hacia San Marcos</x:v>
      </x:c>
      <x:c r="F5" s="14" t="str">
        <x:v>Alto</x:v>
      </x:c>
      <x:c r="G5" s="14" t="str">
        <x:v>Activar verificación técnica, revisar actas y abrir diálogo temprano</x:v>
      </x:c>
      <x:c r="H5" s="15"/>
      <x:c r="I5" s="15"/>
      <x:c r="J5" s="15"/>
      <x:c r="K5" s="15"/>
    </x:row>
    <x:row r="6" ht="56" customHeight="1">
      <x:c r="A6" s="14" t="n">
        <x:v>3</x:v>
      </x:c>
      <x:c r="B6" s="14" t="str">
        <x:v>Lista de contratación o cambio de contratista cuestionado</x:v>
      </x:c>
      <x:c r="C6" s="14" t="str">
        <x:v>Laboral</x:v>
      </x:c>
      <x:c r="D6" s="14" t="str">
        <x:v>Publicación de nombres, reclamo por personal foráneo o ultimátum</x:v>
      </x:c>
      <x:c r="E6" s="14" t="str">
        <x:v>Plantón en accesos, presión a contratistas o paro</x:v>
      </x:c>
      <x:c r="F6" s="14" t="str">
        <x:v>Alto</x:v>
      </x:c>
      <x:c r="G6" s="14" t="str">
        <x:v>Cruzar compromisos, transparentar criterios y mapear líderes laborales</x:v>
      </x:c>
      <x:c r="H6" s="15"/>
      <x:c r="I6" s="15"/>
      <x:c r="J6" s="15"/>
      <x:c r="K6" s="15"/>
    </x:row>
    <x:row r="7" ht="56" customHeight="1">
      <x:c r="A7" s="14" t="n">
        <x:v>4</x:v>
      </x:c>
      <x:c r="B7" s="14" t="str">
        <x:v>Incidente, excavación o daño cercano al mineroducto</x:v>
      </x:c>
      <x:c r="C7" s="14" t="str">
        <x:v>Vial / ambiental</x:v>
      </x:c>
      <x:c r="D7" s="14" t="str">
        <x:v>Reporte de fuga, obra sin coordinación, olor, polvo o afectación de cultivo</x:v>
      </x:c>
      <x:c r="E7" s="14" t="str">
        <x:v>Bloqueo preventivo, evacuación o exigencia de compensación</x:v>
      </x:c>
      <x:c r="F7" s="14" t="str">
        <x:v>Muy alto</x:v>
      </x:c>
      <x:c r="G7" s="14" t="str">
        <x:v>Aplicar protocolo de emergencia y comunicación inmediata con autoridades y vecinos</x:v>
      </x:c>
      <x:c r="H7" s="15"/>
      <x:c r="I7" s="15"/>
      <x:c r="J7" s="15"/>
      <x:c r="K7" s="15"/>
    </x:row>
    <x:row r="8" ht="56" customHeight="1">
      <x:c r="A8" s="14" t="n">
        <x:v>5</x:v>
      </x:c>
      <x:c r="B8" s="14" t="str">
        <x:v>Incumplimiento de compromiso comunal o ambiental</x:v>
      </x:c>
      <x:c r="C8" s="14" t="str">
        <x:v>Social</x:v>
      </x:c>
      <x:c r="D8" s="14" t="str">
        <x:v>Acta vencida, ultimátum, cambio de dirigencia o asamblea extraordinaria</x:v>
      </x:c>
      <x:c r="E8" s="14" t="str">
        <x:v>Plantón, paro o bloqueo</x:v>
      </x:c>
      <x:c r="F8" s="14" t="str">
        <x:v>Alto</x:v>
      </x:c>
      <x:c r="G8" s="14" t="str">
        <x:v>Actualizar matriz de compromisos y abrir canal antes del plazo</x:v>
      </x:c>
      <x:c r="H8" s="15"/>
      <x:c r="I8" s="15"/>
      <x:c r="J8" s="15"/>
      <x:c r="K8" s="15"/>
    </x:row>
    <x:row r="9" ht="56" customHeight="1">
      <x:c r="A9" s="14" t="n">
        <x:v>6</x:v>
      </x:c>
      <x:c r="B9" s="14" t="str">
        <x:v>Convocatoria nacional durante Fiestas Patrias o 1 de mayo</x:v>
      </x:c>
      <x:c r="C9" s="14" t="str">
        <x:v>Político / laboral</x:v>
      </x:c>
      <x:c r="D9" s="14" t="str">
        <x:v>Adhesión de gremios, sindicatos, rondas o colectivos</x:v>
      </x:c>
      <x:c r="E9" s="14" t="str">
        <x:v>Marcha urbana y afectación del tránsito</x:v>
      </x:c>
      <x:c r="F9" s="14" t="str">
        <x:v>Medio-alto</x:v>
      </x:c>
      <x:c r="G9" s="14" t="str">
        <x:v>Confirmar alcance local y asegurar rutas críticas</x:v>
      </x:c>
      <x:c r="H9" s="15"/>
      <x:c r="I9" s="15"/>
      <x:c r="J9" s="15"/>
      <x:c r="K9" s="15"/>
    </x:row>
    <x:row r="10" ht="56" customHeight="1">
      <x:c r="A10" s="14" t="n">
        <x:v>7</x:v>
      </x:c>
      <x:c r="B10" s="14" t="str">
        <x:v>Festividad con alta concentración y discurso reivindicativo</x:v>
      </x:c>
      <x:c r="C10" s="14" t="str">
        <x:v>Social / orden público</x:v>
      </x:c>
      <x:c r="D10" s="14" t="str">
        <x:v>Programa masivo, presencia de autoridades, mensajes críticos o consumo elevado</x:v>
      </x:c>
      <x:c r="E10" s="14" t="str">
        <x:v>Incidente, interrupción de ceremonia o marcha espontánea</x:v>
      </x:c>
      <x:c r="F10" s="14" t="str">
        <x:v>Medio-alto</x:v>
      </x:c>
      <x:c r="G10" s="14" t="str">
        <x:v>Coordinar aforo, rutas, seguridad y monitoreo de discursos</x:v>
      </x:c>
      <x:c r="H10" s="15"/>
      <x:c r="I10" s="15"/>
      <x:c r="J10" s="15"/>
      <x:c r="K10" s="15"/>
    </x:row>
    <x:row r="11" ht="56" customHeight="1">
      <x:c r="A11" s="14" t="n">
        <x:v>8</x:v>
      </x:c>
      <x:c r="B11" s="14" t="str">
        <x:v>Exclusión electoral, fraude alegado o resultado estrecho</x:v>
      </x:c>
      <x:c r="C11" s="14" t="str">
        <x:v>Electoral</x:v>
      </x:c>
      <x:c r="D11" s="14" t="str">
        <x:v>Apelaciones, convocatoria de simpatizantes, vigilancia nocturna y denuncias</x:v>
      </x:c>
      <x:c r="E11" s="14" t="str">
        <x:v>Plantón ante JEE/ODPE, marcha o bloqueo</x:v>
      </x:c>
      <x:c r="F11" s="14" t="str">
        <x:v>Muy alto</x:v>
      </x:c>
      <x:c r="G11" s="14" t="str">
        <x:v>Puesto de monitoreo continuo, separar grupos y verificar información</x:v>
      </x:c>
      <x:c r="H11" s="15"/>
      <x:c r="I11" s="15"/>
      <x:c r="J11" s="15"/>
      <x:c r="K11" s="15"/>
    </x:row>
    <x:row r="12" ht="56" customHeight="1">
      <x:c r="A12" s="14" t="n">
        <x:v>9</x:v>
      </x:c>
      <x:c r="B12" s="14" t="str">
        <x:v>Lluvias, derrumbe o aislamiento con respuesta tardía</x:v>
      </x:c>
      <x:c r="C12" s="14" t="str">
        <x:v>Climático / vial</x:v>
      </x:c>
      <x:c r="D12" s="14" t="str">
        <x:v>Alerta meteorológica, vía restringida, falta de maquinaria o accidente</x:v>
      </x:c>
      <x:c r="E12" s="14" t="str">
        <x:v>Bloqueo natural prolongado y protesta comunal</x:v>
      </x:c>
      <x:c r="F12" s="14" t="str">
        <x:v>Alto</x:v>
      </x:c>
      <x:c r="G12" s="14" t="str">
        <x:v>Coordinar rutas alternas, maquinaria y comunicación comunitaria</x:v>
      </x:c>
      <x:c r="H12" s="15"/>
      <x:c r="I12" s="15"/>
      <x:c r="J12" s="15"/>
      <x:c r="K12" s="15"/>
    </x:row>
    <x:row r="13" ht="56" customHeight="1">
      <x:c r="A13" s="14" t="n">
        <x:v>10</x:v>
      </x:c>
      <x:c r="B13" s="14" t="str">
        <x:v>Agresión, secuestro, minería ilegal o incidente grave de seguridad</x:v>
      </x:c>
      <x:c r="C13" s="14" t="str">
        <x:v>Seguridad</x:v>
      </x:c>
      <x:c r="D13" s="14" t="str">
        <x:v>Alertas vecinales, presencia armada, maquinaria sospechosa o convocatoria de rondas</x:v>
      </x:c>
      <x:c r="E13" s="14" t="str">
        <x:v>Reacción colectiva, persecución, bloqueo o violencia</x:v>
      </x:c>
      <x:c r="F13" s="14" t="str">
        <x:v>Muy alto</x:v>
      </x:c>
      <x:c r="G13" s="14" t="str">
        <x:v>Activar coordinación policial, proteger personal y evitar exposición no controlada</x:v>
      </x:c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04b4559696a42bf"/>
  </x:tableParts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6" customWidth="1"/>
    <x:col min="2" max="2" width="34" customWidth="1"/>
    <x:col min="3" max="3" width="58" customWidth="1"/>
    <x:col min="4" max="4" width="75" customWidth="1"/>
  </x:cols>
  <x:sheetData>
    <x:row r="1" ht="20.25">
      <x:c r="A1" s="17" t="str">
        <x:v>FUENTES CONSULTADAS Y ALCANCE – UGT ANTAMINA</x:v>
      </x:c>
      <x:c r="B1" s="17"/>
      <x:c r="C1" s="17"/>
      <x:c r="D1" s="17"/>
      <x:c r="E1" s="15"/>
      <x:c r="F1" s="15"/>
      <x:c r="G1" s="15"/>
      <x:c r="H1" s="15"/>
      <x:c r="I1" s="15"/>
      <x:c r="J1" s="15"/>
      <x:c r="K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9" t="str">
        <x:v>N°</x:v>
      </x:c>
      <x:c r="B3" s="19" t="str">
        <x:v>Institución / medio</x:v>
      </x:c>
      <x:c r="C3" s="19" t="str">
        <x:v>Uso en el análisis</x:v>
      </x:c>
      <x:c r="D3" s="19" t="str">
        <x:v>URL</x:v>
      </x:c>
      <x:c r="E3" s="15"/>
      <x:c r="F3" s="15"/>
      <x:c r="G3" s="15"/>
      <x:c r="H3" s="15"/>
      <x:c r="I3" s="15"/>
      <x:c r="J3" s="15"/>
      <x:c r="K3" s="15"/>
    </x:row>
    <x:row r="4" ht="48" customHeight="1">
      <x:c r="A4" s="14" t="n">
        <x:v>1</x:v>
      </x:c>
      <x:c r="B4" s="14" t="str">
        <x:v>The Guardian</x:v>
      </x:c>
      <x:c r="C4" s="14" t="str">
        <x:v>Contexto reciente sobre agua, metales y comunidades de San Marcos y Huarmey</x:v>
      </x:c>
      <x:c r="D4" s="14" t="str">
        <x:v>https://www.theguardian.com/global-development/2025/feb/04/the-last-drops-of-our-water-how-a-mine-left-some-of-perus-poorest-high-and-dry</x:v>
      </x:c>
      <x:c r="E4" s="15"/>
      <x:c r="F4" s="15"/>
      <x:c r="G4" s="15"/>
      <x:c r="H4" s="15"/>
      <x:c r="I4" s="15"/>
      <x:c r="J4" s="15"/>
      <x:c r="K4" s="15"/>
    </x:row>
    <x:row r="5" ht="48" customHeight="1">
      <x:c r="A5" s="14" t="n">
        <x:v>2</x:v>
      </x:c>
      <x:c r="B5" s="14" t="str">
        <x:v>OEFA / compilación pública</x:v>
      </x:c>
      <x:c r="C5" s="14" t="str">
        <x:v>Antecedentes y resultados asociados a arsénico en Huarmey</x:v>
      </x:c>
      <x:c r="D5" s="14" t="str">
        <x:v>https://es.wikipedia.org/wiki/Contaminaci%C3%B3n_por_ars%C3%A9nico_en_Huarmey</x:v>
      </x:c>
      <x:c r="E5" s="15"/>
      <x:c r="F5" s="15"/>
      <x:c r="G5" s="15"/>
      <x:c r="H5" s="15"/>
      <x:c r="I5" s="15"/>
      <x:c r="J5" s="15"/>
      <x:c r="K5" s="15"/>
    </x:row>
    <x:row r="6" ht="48" customHeight="1">
      <x:c r="A6" s="14" t="n">
        <x:v>3</x:v>
      </x:c>
      <x:c r="B6" s="14" t="str">
        <x:v>Compilación técnica pública</x:v>
      </x:c>
      <x:c r="C6" s="14" t="str">
        <x:v>Trazado, antecedentes e incidentes del mineroducto de Antamina</x:v>
      </x:c>
      <x:c r="D6" s="14" t="str">
        <x:v>https://es.wikipedia.org/wiki/Mineroducto_de_Antamina</x:v>
      </x:c>
      <x:c r="E6" s="15"/>
      <x:c r="F6" s="15"/>
      <x:c r="G6" s="15"/>
      <x:c r="H6" s="15"/>
      <x:c r="I6" s="15"/>
      <x:c r="J6" s="15"/>
      <x:c r="K6" s="15"/>
    </x:row>
    <x:row r="7" ht="48" customHeight="1">
      <x:c r="A7" s="14" t="n">
        <x:v>4</x:v>
      </x:c>
      <x:c r="B7" s="14" t="str">
        <x:v>Compilación histórica</x:v>
      </x:c>
      <x:c r="C7" s="14" t="str">
        <x:v>Derrame de concentrados en Cajacay y respuesta comunitaria</x:v>
      </x:c>
      <x:c r="D7" s="14" t="str">
        <x:v>https://es.wikipedia.org/wiki/Derrame_de_concentrados_de_cobre_en_Cajacay</x:v>
      </x:c>
      <x:c r="E7" s="15"/>
      <x:c r="F7" s="15"/>
      <x:c r="G7" s="15"/>
      <x:c r="H7" s="15"/>
      <x:c r="I7" s="15"/>
      <x:c r="J7" s="15"/>
      <x:c r="K7" s="15"/>
    </x:row>
    <x:row r="8" ht="48" customHeight="1">
      <x:c r="A8" s="14" t="n">
        <x:v>5</x:v>
      </x:c>
      <x:c r="B8" s="14" t="str">
        <x:v>Compañía Minera Antamina</x:v>
      </x:c>
      <x:c r="C8" s="14" t="str">
        <x:v>Referencia general de gestión social y relacionamiento territorial</x:v>
      </x:c>
      <x:c r="D8" s="14" t="str">
        <x:v>https://www.antamina.com/gestion-social/</x:v>
      </x:c>
      <x:c r="E8" s="15"/>
      <x:c r="F8" s="15"/>
      <x:c r="G8" s="15"/>
      <x:c r="H8" s="15"/>
      <x:c r="I8" s="15"/>
      <x:c r="J8" s="15"/>
      <x:c r="K8" s="15"/>
    </x:row>
    <x:row r="9" ht="48" customHeight="1">
      <x:c r="A9" s="14" t="n">
        <x:v>6</x:v>
      </x:c>
      <x:c r="B9" s="14" t="str">
        <x:v>Jurado Nacional de Elecciones</x:v>
      </x:c>
      <x:c r="C9" s="14" t="str">
        <x:v>Cronograma oficial de las Elecciones Regionales y Municipales 2026</x:v>
      </x:c>
      <x:c r="D9" s="14" t="str">
        <x:v>https://www.gob.pe/institucion/jne/informes-publicaciones/8055863-cronograma-electoral-de-las-elecciones-regionales-y-municipales-2026</x:v>
      </x:c>
      <x:c r="E9" s="15"/>
      <x:c r="F9" s="15"/>
      <x:c r="G9" s="15"/>
      <x:c r="H9" s="15"/>
      <x:c r="I9" s="15"/>
      <x:c r="J9" s="15"/>
      <x:c r="K9" s="15"/>
    </x:row>
    <x:row r="10" ht="48" customHeight="1">
      <x:c r="A10" s="14" t="n">
        <x:v>7</x:v>
      </x:c>
      <x:c r="B10" s="14" t="str">
        <x:v>ONPE</x:v>
      </x:c>
      <x:c r="C10" s="14" t="str">
        <x:v>Fecha y alcance de la jornada electoral del 4 de octubre de 2026</x:v>
      </x:c>
      <x:c r="D10" s="14" t="str">
        <x:v>https://www.gob.pe/institucion/onpe/campa%C3%B1as/143000-elecciones-regionales-y-municipales-2026</x:v>
      </x:c>
      <x:c r="E10" s="15"/>
      <x:c r="F10" s="15"/>
      <x:c r="G10" s="15"/>
      <x:c r="H10" s="15"/>
      <x:c r="I10" s="15"/>
      <x:c r="J10" s="15"/>
      <x:c r="K10" s="15"/>
    </x:row>
    <x:row r="11" ht="48" customHeight="1">
      <x:c r="A11" s="14" t="n">
        <x:v>8</x:v>
      </x:c>
      <x:c r="B11" s="14" t="str">
        <x:v>Defensoría del Pueblo</x:v>
      </x:c>
      <x:c r="C11" s="14" t="str">
        <x:v>Patrones de conflictividad electoral e incidencias de las ERM 2022</x:v>
      </x:c>
      <x:c r="D11" s="14" t="str">
        <x:v>https://www.defensoria.gob.pe/wp-content/uploads/2023/03/Informe-Defensorial-n.%C2%B0-189.pdf</x:v>
      </x:c>
      <x:c r="E11" s="15"/>
      <x:c r="F11" s="15"/>
      <x:c r="G11" s="15"/>
      <x:c r="H11" s="15"/>
      <x:c r="I11" s="15"/>
      <x:c r="J11" s="15"/>
      <x:c r="K11" s="15"/>
    </x:row>
    <x:row r="12" ht="48" customHeight="1">
      <x:c r="A12" s="14" t="n">
        <x:v>9</x:v>
      </x:c>
      <x:c r="B12" s="14" t="str">
        <x:v>Defensoría del Pueblo</x:v>
      </x:c>
      <x:c r="C12" s="14" t="str">
        <x:v>Referencia de protestas nacionales durante julio</x:v>
      </x:c>
      <x:c r="D12" s="14" t="str">
        <x:v>https://www.defensoria.gob.pe/defensoria-del-pueblo-reporta-287-acciones-colectivas-de-protesta-desarrolladas-en-julio/</x:v>
      </x:c>
      <x:c r="E12" s="15"/>
      <x:c r="F12" s="15"/>
      <x:c r="G12" s="15"/>
      <x:c r="H12" s="15"/>
      <x:c r="I12" s="15"/>
      <x:c r="J12" s="15"/>
      <x:c r="K12" s="15"/>
    </x:row>
    <x:row r="13" ht="48" customHeight="1">
      <x:c r="A13" s="14" t="n">
        <x:v>10</x:v>
      </x:c>
      <x:c r="B13" s="14" t="str">
        <x:v>Registro cultural / Chiquián</x:v>
      </x:c>
      <x:c r="C13" s="14" t="str">
        <x:v>Fiesta anual de Santa Rosa de Lima y periodo de celebración</x:v>
      </x:c>
      <x:c r="D13" s="14" t="str">
        <x:v>https://es.wikipedia.org/wiki/Chiqui%C3%A1n</x:v>
      </x:c>
      <x:c r="E13" s="15"/>
      <x:c r="F13" s="15"/>
      <x:c r="G13" s="15"/>
      <x:c r="H13" s="15"/>
      <x:c r="I13" s="15"/>
      <x:c r="J13" s="15"/>
      <x:c r="K13" s="15"/>
    </x:row>
    <x:row r="14" ht="48" customHeight="1">
      <x:c r="A14" s="14" t="n">
        <x:v>11</x:v>
      </x:c>
      <x:c r="B14" s="14" t="str">
        <x:v>Registro local / Huallanca</x:v>
      </x:c>
      <x:c r="C14" s="14" t="str">
        <x:v>Festividades anuales, semana turística y aniversario cívico</x:v>
      </x:c>
      <x:c r="D14" s="14" t="str">
        <x:v>https://es.wikipedia.org/wiki/Distrito_de_Huallanca_%28Bolognesi%29</x:v>
      </x:c>
      <x:c r="E14" s="15"/>
      <x:c r="F14" s="15"/>
      <x:c r="G14" s="15"/>
      <x:c r="H14" s="15"/>
      <x:c r="I14" s="15"/>
      <x:c r="J14" s="15"/>
      <x:c r="K14" s="15"/>
    </x:row>
    <x:row r="15" ht="48" customHeight="1">
      <x:c r="A15" s="15" t="n">
        <x:v>12</x:v>
      </x:c>
      <x:c r="B15" s="15" t="str">
        <x:v>Registro local / Aquia</x:v>
      </x:c>
      <x:c r="C15" s="15" t="str">
        <x:v>Fiestas anuales de mayo y septiembre</x:v>
      </x:c>
      <x:c r="D15" s="15" t="str">
        <x:v>https://es.wikipedia.org/wiki/Distrito_de_Aquia</x:v>
      </x:c>
      <x:c r="E15" s="15"/>
      <x:c r="F15" s="15"/>
      <x:c r="G15" s="15"/>
      <x:c r="H15" s="15"/>
      <x:c r="I15" s="15"/>
      <x:c r="J15" s="15"/>
      <x:c r="K15" s="15"/>
    </x:row>
    <x:row r="16" ht="48" customHeight="1">
      <x:c r="A16" s="15" t="n">
        <x:v>13</x:v>
      </x:c>
      <x:c r="B16" s="15" t="str">
        <x:v>Registro local / Paramonga</x:v>
      </x:c>
      <x:c r="C16" s="15" t="str">
        <x:v>Fiestas patronales y aniversario distrital</x:v>
      </x:c>
      <x:c r="D16" s="15" t="str">
        <x:v>https://es.wikipedia.org/wiki/Distrito_de_Paramonga</x:v>
      </x:c>
      <x:c r="E16" s="15"/>
      <x:c r="F16" s="15"/>
      <x:c r="G16" s="15"/>
      <x:c r="H16" s="15"/>
      <x:c r="I16" s="15"/>
      <x:c r="J16" s="15"/>
      <x:c r="K16" s="15"/>
    </x:row>
    <x:row r="17" ht="48" customHeight="1">
      <x:c r="A17" s="15" t="n">
        <x:v>14</x:v>
      </x:c>
      <x:c r="B17" s="15" t="str">
        <x:v>Registro local / Huarmey</x:v>
      </x:c>
      <x:c r="C17" s="15" t="str">
        <x:v>Festividad patronal y aniversario provincial</x:v>
      </x:c>
      <x:c r="D17" s="15" t="str">
        <x:v>https://es.wikipedia.org/wiki/Provincia_de_Huarmey</x:v>
      </x:c>
      <x:c r="E17" s="15"/>
      <x:c r="F17" s="15"/>
      <x:c r="G17" s="15"/>
      <x:c r="H17" s="15"/>
      <x:c r="I17" s="15"/>
      <x:c r="J17" s="15"/>
      <x:c r="K17" s="15"/>
    </x:row>
    <x:row r="18" ht="48" customHeight="1">
      <x:c r="A18" s="15" t="n">
        <x:v>15</x:v>
      </x:c>
      <x:c r="B18" s="15" t="str">
        <x:v>Reuters / compilación pública</x:v>
      </x:c>
      <x:c r="C18" s="15" t="str">
        <x:v>Antecedente del bloqueo de Aquia a Antamina en 2021</x:v>
      </x:c>
      <x:c r="D18" s="15" t="str">
        <x:v>https://en.wikipedia.org/wiki/Antamina_mine</x:v>
      </x:c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51e63ffc8ea4060"/>
  </x:tableParts>
</x:worksheet>
</file>